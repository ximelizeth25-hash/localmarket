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os de Función" sheetId="1" state="visible" r:id="rId1"/>
    <sheet xmlns:r="http://schemas.openxmlformats.org/officeDocument/2006/relationships" name="Líneas de Código (LD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1F4E78"/>
      <sz val="11"/>
    </font>
    <font>
      <name val="Arial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0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6" fillId="0" borderId="1" pivotButton="0" quotePrefix="0" xfId="0"/>
    <xf numFmtId="0" fontId="8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25" customWidth="1" min="4" max="4"/>
    <col width="20" customWidth="1" min="5" max="5"/>
    <col width="18" customWidth="1" min="6" max="6"/>
  </cols>
  <sheetData>
    <row r="1">
      <c r="A1" s="1" t="inlineStr">
        <is>
          <t>ANÁLISIS DE PUNTOS DE FUNCIÓN (PF) - TIENDA EN LÍNEA</t>
        </is>
      </c>
    </row>
    <row r="2">
      <c r="A2" s="2" t="inlineStr">
        <is>
          <t>Basado en Diagrama E-R: CLIENTES, CATEGORÍAS, PRODUCTOS, PEDIDOS, DETALLE_PEDIDOS (5 Tablas con CRUD)</t>
        </is>
      </c>
    </row>
    <row r="4">
      <c r="A4" s="3" t="inlineStr">
        <is>
          <t>Entradas (EI)</t>
        </is>
      </c>
    </row>
    <row r="5">
      <c r="A5" s="4" t="inlineStr">
        <is>
          <t>Núm.</t>
        </is>
      </c>
      <c r="B5" s="5" t="inlineStr">
        <is>
          <t>Entrada (Operación CRUD)</t>
        </is>
      </c>
      <c r="C5" s="5" t="inlineStr">
        <is>
          <t>Archivos referidos</t>
        </is>
      </c>
      <c r="D5" s="4" t="inlineStr">
        <is>
          <t>Elementos de datos (DET)</t>
        </is>
      </c>
      <c r="E5" s="4" t="inlineStr">
        <is>
          <t>Nivel</t>
        </is>
      </c>
      <c r="F5" s="4" t="inlineStr">
        <is>
          <t>Valor</t>
        </is>
      </c>
    </row>
    <row r="6">
      <c r="A6" s="6" t="n">
        <v>1</v>
      </c>
      <c r="B6" s="7" t="inlineStr">
        <is>
          <t>Registrar Cliente</t>
        </is>
      </c>
      <c r="C6" s="7" t="inlineStr">
        <is>
          <t>CLIENTES</t>
        </is>
      </c>
      <c r="D6" s="6" t="n">
        <v>5</v>
      </c>
      <c r="E6" s="6" t="inlineStr">
        <is>
          <t>Bajo</t>
        </is>
      </c>
      <c r="F6" s="6" t="n">
        <v>3</v>
      </c>
    </row>
    <row r="7">
      <c r="A7" s="6" t="n">
        <v>2</v>
      </c>
      <c r="B7" s="7" t="inlineStr">
        <is>
          <t>Modificar Cliente</t>
        </is>
      </c>
      <c r="C7" s="7" t="inlineStr">
        <is>
          <t>CLIENTES</t>
        </is>
      </c>
      <c r="D7" s="6" t="n">
        <v>5</v>
      </c>
      <c r="E7" s="6" t="inlineStr">
        <is>
          <t>Bajo</t>
        </is>
      </c>
      <c r="F7" s="6" t="n">
        <v>3</v>
      </c>
    </row>
    <row r="8">
      <c r="A8" s="6" t="n">
        <v>3</v>
      </c>
      <c r="B8" s="7" t="inlineStr">
        <is>
          <t>Eliminar Cliente</t>
        </is>
      </c>
      <c r="C8" s="7" t="inlineStr">
        <is>
          <t>CLIENTES, PEDIDOS</t>
        </is>
      </c>
      <c r="D8" s="6" t="n">
        <v>1</v>
      </c>
      <c r="E8" s="6" t="inlineStr">
        <is>
          <t>Medio</t>
        </is>
      </c>
      <c r="F8" s="6" t="n">
        <v>4</v>
      </c>
    </row>
    <row r="9">
      <c r="A9" s="6" t="n">
        <v>4</v>
      </c>
      <c r="B9" s="7" t="inlineStr">
        <is>
          <t>Registrar Categoría</t>
        </is>
      </c>
      <c r="C9" s="7" t="inlineStr">
        <is>
          <t>CATEGORÍAS</t>
        </is>
      </c>
      <c r="D9" s="6" t="n">
        <v>3</v>
      </c>
      <c r="E9" s="6" t="inlineStr">
        <is>
          <t>Bajo</t>
        </is>
      </c>
      <c r="F9" s="6" t="n">
        <v>3</v>
      </c>
    </row>
    <row r="10">
      <c r="A10" s="6" t="n">
        <v>5</v>
      </c>
      <c r="B10" s="7" t="inlineStr">
        <is>
          <t>Modificar Categoría</t>
        </is>
      </c>
      <c r="C10" s="7" t="inlineStr">
        <is>
          <t>CATEGORÍAS</t>
        </is>
      </c>
      <c r="D10" s="6" t="n">
        <v>3</v>
      </c>
      <c r="E10" s="6" t="inlineStr">
        <is>
          <t>Bajo</t>
        </is>
      </c>
      <c r="F10" s="6" t="n">
        <v>3</v>
      </c>
    </row>
    <row r="11">
      <c r="A11" s="6" t="n">
        <v>6</v>
      </c>
      <c r="B11" s="7" t="inlineStr">
        <is>
          <t>Eliminar Categoría</t>
        </is>
      </c>
      <c r="C11" s="7" t="inlineStr">
        <is>
          <t>CATEGORÍAS, PRODUCTOS</t>
        </is>
      </c>
      <c r="D11" s="6" t="n">
        <v>1</v>
      </c>
      <c r="E11" s="6" t="inlineStr">
        <is>
          <t>Medio</t>
        </is>
      </c>
      <c r="F11" s="6" t="n">
        <v>4</v>
      </c>
    </row>
    <row r="12">
      <c r="A12" s="6" t="n">
        <v>7</v>
      </c>
      <c r="B12" s="7" t="inlineStr">
        <is>
          <t>Registrar Producto</t>
        </is>
      </c>
      <c r="C12" s="7" t="inlineStr">
        <is>
          <t>PRODUCTOS, CATEGORÍAS</t>
        </is>
      </c>
      <c r="D12" s="6" t="n">
        <v>5</v>
      </c>
      <c r="E12" s="6" t="inlineStr">
        <is>
          <t>Bajo</t>
        </is>
      </c>
      <c r="F12" s="6" t="n">
        <v>3</v>
      </c>
    </row>
    <row r="13">
      <c r="A13" s="6" t="n">
        <v>8</v>
      </c>
      <c r="B13" s="7" t="inlineStr">
        <is>
          <t>Modificar Producto</t>
        </is>
      </c>
      <c r="C13" s="7" t="inlineStr">
        <is>
          <t>PRODUCTOS</t>
        </is>
      </c>
      <c r="D13" s="6" t="n">
        <v>5</v>
      </c>
      <c r="E13" s="6" t="inlineStr">
        <is>
          <t>Bajo</t>
        </is>
      </c>
      <c r="F13" s="6" t="n">
        <v>3</v>
      </c>
    </row>
    <row r="14">
      <c r="A14" s="6" t="n">
        <v>9</v>
      </c>
      <c r="B14" s="7" t="inlineStr">
        <is>
          <t>Eliminar Producto</t>
        </is>
      </c>
      <c r="C14" s="7" t="inlineStr">
        <is>
          <t>PRODUCTOS, DETALLE_PEDIDOS</t>
        </is>
      </c>
      <c r="D14" s="6" t="n">
        <v>1</v>
      </c>
      <c r="E14" s="6" t="inlineStr">
        <is>
          <t>Medio</t>
        </is>
      </c>
      <c r="F14" s="6" t="n">
        <v>4</v>
      </c>
    </row>
    <row r="15">
      <c r="A15" s="6" t="n">
        <v>10</v>
      </c>
      <c r="B15" s="7" t="inlineStr">
        <is>
          <t>Registrar Pedido</t>
        </is>
      </c>
      <c r="C15" s="7" t="inlineStr">
        <is>
          <t>PEDIDOS, CLIENTES, DETALLE_PEDIDOS</t>
        </is>
      </c>
      <c r="D15" s="6" t="n">
        <v>3</v>
      </c>
      <c r="E15" s="6" t="inlineStr">
        <is>
          <t>Alto</t>
        </is>
      </c>
      <c r="F15" s="6" t="n">
        <v>6</v>
      </c>
    </row>
    <row r="16">
      <c r="A16" s="6" t="n">
        <v>11</v>
      </c>
      <c r="B16" s="7" t="inlineStr">
        <is>
          <t>Modificar Pedido</t>
        </is>
      </c>
      <c r="C16" s="7" t="inlineStr">
        <is>
          <t>PEDIDOS</t>
        </is>
      </c>
      <c r="D16" s="6" t="n">
        <v>3</v>
      </c>
      <c r="E16" s="6" t="inlineStr">
        <is>
          <t>Bajo</t>
        </is>
      </c>
      <c r="F16" s="6" t="n">
        <v>3</v>
      </c>
    </row>
    <row r="17">
      <c r="A17" s="6" t="n">
        <v>12</v>
      </c>
      <c r="B17" s="7" t="inlineStr">
        <is>
          <t>Eliminar / Cancelar Pedido</t>
        </is>
      </c>
      <c r="C17" s="7" t="inlineStr">
        <is>
          <t>PEDIDOS, DETALLE_PEDIDOS</t>
        </is>
      </c>
      <c r="D17" s="6" t="n">
        <v>1</v>
      </c>
      <c r="E17" s="6" t="inlineStr">
        <is>
          <t>Medio</t>
        </is>
      </c>
      <c r="F17" s="6" t="n">
        <v>4</v>
      </c>
    </row>
    <row r="18">
      <c r="A18" s="6" t="n">
        <v>13</v>
      </c>
      <c r="B18" s="7" t="inlineStr">
        <is>
          <t>Registrar Detalle de Pedido</t>
        </is>
      </c>
      <c r="C18" s="7" t="inlineStr">
        <is>
          <t>DETALLE_PEDIDOS, PRODUCTOS, PEDIDOS</t>
        </is>
      </c>
      <c r="D18" s="6" t="n">
        <v>5</v>
      </c>
      <c r="E18" s="6" t="inlineStr">
        <is>
          <t>Medio</t>
        </is>
      </c>
      <c r="F18" s="6" t="n">
        <v>4</v>
      </c>
    </row>
    <row r="19">
      <c r="A19" s="6" t="n">
        <v>14</v>
      </c>
      <c r="B19" s="7" t="inlineStr">
        <is>
          <t>Modificar Detalle de Pedido</t>
        </is>
      </c>
      <c r="C19" s="7" t="inlineStr">
        <is>
          <t>DETALLE_PEDIDOS</t>
        </is>
      </c>
      <c r="D19" s="6" t="n">
        <v>5</v>
      </c>
      <c r="E19" s="6" t="inlineStr">
        <is>
          <t>Bajo</t>
        </is>
      </c>
      <c r="F19" s="6" t="n">
        <v>3</v>
      </c>
    </row>
    <row r="20">
      <c r="A20" s="6" t="n">
        <v>15</v>
      </c>
      <c r="B20" s="7" t="inlineStr">
        <is>
          <t>Eliminar Item de Detalle Pedido</t>
        </is>
      </c>
      <c r="C20" s="7" t="inlineStr">
        <is>
          <t>DETALLE_PEDIDOS</t>
        </is>
      </c>
      <c r="D20" s="6" t="n">
        <v>1</v>
      </c>
      <c r="E20" s="6" t="inlineStr">
        <is>
          <t>Bajo</t>
        </is>
      </c>
      <c r="F20" s="6" t="n">
        <v>3</v>
      </c>
    </row>
    <row r="21">
      <c r="A21" s="8" t="n"/>
      <c r="B21" s="8" t="n"/>
      <c r="C21" s="8" t="n"/>
      <c r="D21" s="8" t="n"/>
      <c r="E21" s="9" t="inlineStr">
        <is>
          <t>Subtotal Entradas (EI)</t>
        </is>
      </c>
      <c r="F21" s="10">
        <f>SUM(F6:F20)</f>
        <v/>
      </c>
    </row>
    <row r="23">
      <c r="A23" s="3" t="inlineStr">
        <is>
          <t>Salidas (EO - Reportes PDF)</t>
        </is>
      </c>
    </row>
    <row r="24">
      <c r="A24" s="4" t="inlineStr">
        <is>
          <t>Núm.</t>
        </is>
      </c>
      <c r="B24" s="5" t="inlineStr">
        <is>
          <t>Salida / Reporte PDF</t>
        </is>
      </c>
      <c r="C24" s="5" t="inlineStr">
        <is>
          <t>Archivos referidos</t>
        </is>
      </c>
      <c r="D24" s="4" t="inlineStr">
        <is>
          <t>Elementos de datos (DET)</t>
        </is>
      </c>
      <c r="E24" s="4" t="inlineStr">
        <is>
          <t>Nivel</t>
        </is>
      </c>
      <c r="F24" s="4" t="inlineStr">
        <is>
          <t>Valor</t>
        </is>
      </c>
    </row>
    <row r="25">
      <c r="A25" s="6" t="n">
        <v>1</v>
      </c>
      <c r="B25" s="7" t="inlineStr">
        <is>
          <t>Reporte 1: Estado de Cuenta y Pedidos por Cliente (PDF)</t>
        </is>
      </c>
      <c r="C25" s="7" t="inlineStr">
        <is>
          <t>PEDIDOS, CLIENTES, DETALLE_PEDIDOS</t>
        </is>
      </c>
      <c r="D25" s="6" t="n">
        <v>6</v>
      </c>
      <c r="E25" s="6" t="inlineStr">
        <is>
          <t>Medio</t>
        </is>
      </c>
      <c r="F25" s="6" t="n">
        <v>5</v>
      </c>
    </row>
    <row r="26">
      <c r="A26" s="6" t="n">
        <v>2</v>
      </c>
      <c r="B26" s="7" t="inlineStr">
        <is>
          <t>Reporte 2: Ventas e Ingresos por Categoría y Producto (PDF)</t>
        </is>
      </c>
      <c r="C26" s="7" t="inlineStr">
        <is>
          <t>PRODUCTOS, CATEGORÍAS, DETALLE_PEDIDOS</t>
        </is>
      </c>
      <c r="D26" s="6" t="n">
        <v>6</v>
      </c>
      <c r="E26" s="6" t="inlineStr">
        <is>
          <t>Medio</t>
        </is>
      </c>
      <c r="F26" s="6" t="n">
        <v>5</v>
      </c>
    </row>
    <row r="27">
      <c r="A27" s="6" t="n">
        <v>3</v>
      </c>
      <c r="B27" s="7" t="inlineStr">
        <is>
          <t>Reporte 3: Listado de Productos con Inventario Bajo / Valor Total (PDF)</t>
        </is>
      </c>
      <c r="C27" s="7" t="inlineStr">
        <is>
          <t>PRODUCTOS, CATEGORÍAS</t>
        </is>
      </c>
      <c r="D27" s="6" t="n">
        <v>5</v>
      </c>
      <c r="E27" s="6" t="inlineStr">
        <is>
          <t>Bajo</t>
        </is>
      </c>
      <c r="F27" s="6" t="n">
        <v>4</v>
      </c>
    </row>
    <row r="28">
      <c r="A28" s="8" t="n"/>
      <c r="B28" s="8" t="n"/>
      <c r="C28" s="8" t="n"/>
      <c r="D28" s="8" t="n"/>
      <c r="E28" s="9" t="inlineStr">
        <is>
          <t>Subtotal Salidas (EO - Reportes PDF)</t>
        </is>
      </c>
      <c r="F28" s="10">
        <f>SUM(F25:F27)</f>
        <v/>
      </c>
    </row>
    <row r="30">
      <c r="A30" s="3" t="inlineStr">
        <is>
          <t>Peticiones (EQ)</t>
        </is>
      </c>
    </row>
    <row r="31">
      <c r="A31" s="4" t="inlineStr">
        <is>
          <t>Núm.</t>
        </is>
      </c>
      <c r="B31" s="5" t="inlineStr">
        <is>
          <t>Petición / Consulta</t>
        </is>
      </c>
      <c r="C31" s="5" t="inlineStr">
        <is>
          <t>Archivos referidos</t>
        </is>
      </c>
      <c r="D31" s="4" t="inlineStr">
        <is>
          <t>Elementos de datos (DET)</t>
        </is>
      </c>
      <c r="E31" s="4" t="inlineStr">
        <is>
          <t>Nivel</t>
        </is>
      </c>
      <c r="F31" s="4" t="inlineStr">
        <is>
          <t>Valor</t>
        </is>
      </c>
    </row>
    <row r="32">
      <c r="A32" s="6" t="n">
        <v>1</v>
      </c>
      <c r="B32" s="7" t="inlineStr">
        <is>
          <t>Consulta de Cliente por ID / Nombre</t>
        </is>
      </c>
      <c r="C32" s="7" t="inlineStr">
        <is>
          <t>CLIENTES</t>
        </is>
      </c>
      <c r="D32" s="6" t="n">
        <v>5</v>
      </c>
      <c r="E32" s="6" t="inlineStr">
        <is>
          <t>Bajo</t>
        </is>
      </c>
      <c r="F32" s="6" t="n">
        <v>3</v>
      </c>
    </row>
    <row r="33">
      <c r="A33" s="6" t="n">
        <v>2</v>
      </c>
      <c r="B33" s="7" t="inlineStr">
        <is>
          <t>Consulta de Catálogo de Categorías</t>
        </is>
      </c>
      <c r="C33" s="7" t="inlineStr">
        <is>
          <t>CATEGORÍAS</t>
        </is>
      </c>
      <c r="D33" s="6" t="n">
        <v>3</v>
      </c>
      <c r="E33" s="6" t="inlineStr">
        <is>
          <t>Bajo</t>
        </is>
      </c>
      <c r="F33" s="6" t="n">
        <v>3</v>
      </c>
    </row>
    <row r="34">
      <c r="A34" s="6" t="n">
        <v>3</v>
      </c>
      <c r="B34" s="7" t="inlineStr">
        <is>
          <t>Consulta de Lista de Productos</t>
        </is>
      </c>
      <c r="C34" s="7" t="inlineStr">
        <is>
          <t>PRODUCTOS, CATEGORÍAS</t>
        </is>
      </c>
      <c r="D34" s="6" t="n">
        <v>5</v>
      </c>
      <c r="E34" s="6" t="inlineStr">
        <is>
          <t>Bajo</t>
        </is>
      </c>
      <c r="F34" s="6" t="n">
        <v>3</v>
      </c>
    </row>
    <row r="35">
      <c r="A35" s="6" t="n">
        <v>4</v>
      </c>
      <c r="B35" s="7" t="inlineStr">
        <is>
          <t>Consulta de Historial de Pedidos</t>
        </is>
      </c>
      <c r="C35" s="7" t="inlineStr">
        <is>
          <t>PEDIDOS, CLIENTES</t>
        </is>
      </c>
      <c r="D35" s="6" t="n">
        <v>3</v>
      </c>
      <c r="E35" s="6" t="inlineStr">
        <is>
          <t>Bajo</t>
        </is>
      </c>
      <c r="F35" s="6" t="n">
        <v>3</v>
      </c>
    </row>
    <row r="36">
      <c r="A36" s="6" t="n">
        <v>5</v>
      </c>
      <c r="B36" s="7" t="inlineStr">
        <is>
          <t>Consulta de Detalle de un Pedido</t>
        </is>
      </c>
      <c r="C36" s="7" t="inlineStr">
        <is>
          <t>DETALLE_PEDIDOS, PRODUCTOS</t>
        </is>
      </c>
      <c r="D36" s="6" t="n">
        <v>5</v>
      </c>
      <c r="E36" s="6" t="inlineStr">
        <is>
          <t>Bajo</t>
        </is>
      </c>
      <c r="F36" s="6" t="n">
        <v>3</v>
      </c>
    </row>
    <row r="37">
      <c r="A37" s="8" t="n"/>
      <c r="B37" s="8" t="n"/>
      <c r="C37" s="8" t="n"/>
      <c r="D37" s="8" t="n"/>
      <c r="E37" s="9" t="inlineStr">
        <is>
          <t>Subtotal Peticiones (EQ)</t>
        </is>
      </c>
      <c r="F37" s="10">
        <f>SUM(F32:F36)</f>
        <v/>
      </c>
    </row>
    <row r="39">
      <c r="A39" s="3" t="inlineStr">
        <is>
          <t>Archivos Internos (ILF - 5 Tablas)</t>
        </is>
      </c>
    </row>
    <row r="40">
      <c r="A40" s="4" t="inlineStr">
        <is>
          <t>Núm.</t>
        </is>
      </c>
      <c r="B40" s="5" t="inlineStr">
        <is>
          <t>Archivo / Tabla E-R</t>
        </is>
      </c>
      <c r="C40" s="5" t="inlineStr">
        <is>
          <t>Elementos de Registro (RET)</t>
        </is>
      </c>
      <c r="D40" s="4" t="inlineStr">
        <is>
          <t>Elementos de Datos (DET)</t>
        </is>
      </c>
      <c r="E40" s="4" t="inlineStr">
        <is>
          <t>Nivel</t>
        </is>
      </c>
      <c r="F40" s="4" t="inlineStr">
        <is>
          <t>Valor</t>
        </is>
      </c>
    </row>
    <row r="41">
      <c r="A41" s="6" t="n">
        <v>1</v>
      </c>
      <c r="B41" s="7" t="inlineStr">
        <is>
          <t>Tabla CLIENTES</t>
        </is>
      </c>
      <c r="C41" s="7" t="n">
        <v>1</v>
      </c>
      <c r="D41" s="6" t="n">
        <v>5</v>
      </c>
      <c r="E41" s="6" t="inlineStr">
        <is>
          <t>Bajo</t>
        </is>
      </c>
      <c r="F41" s="6" t="n">
        <v>7</v>
      </c>
    </row>
    <row r="42">
      <c r="A42" s="6" t="n">
        <v>2</v>
      </c>
      <c r="B42" s="7" t="inlineStr">
        <is>
          <t>Tabla CATEGORÍAS</t>
        </is>
      </c>
      <c r="C42" s="7" t="n">
        <v>1</v>
      </c>
      <c r="D42" s="6" t="n">
        <v>3</v>
      </c>
      <c r="E42" s="6" t="inlineStr">
        <is>
          <t>Bajo</t>
        </is>
      </c>
      <c r="F42" s="6" t="n">
        <v>7</v>
      </c>
    </row>
    <row r="43">
      <c r="A43" s="6" t="n">
        <v>3</v>
      </c>
      <c r="B43" s="7" t="inlineStr">
        <is>
          <t>Tabla PRODUCTOS</t>
        </is>
      </c>
      <c r="C43" s="7" t="n">
        <v>1</v>
      </c>
      <c r="D43" s="6" t="n">
        <v>5</v>
      </c>
      <c r="E43" s="6" t="inlineStr">
        <is>
          <t>Bajo</t>
        </is>
      </c>
      <c r="F43" s="6" t="n">
        <v>7</v>
      </c>
    </row>
    <row r="44">
      <c r="A44" s="6" t="n">
        <v>4</v>
      </c>
      <c r="B44" s="7" t="inlineStr">
        <is>
          <t>Tabla PEDIDOS</t>
        </is>
      </c>
      <c r="C44" s="7" t="n">
        <v>1</v>
      </c>
      <c r="D44" s="6" t="n">
        <v>3</v>
      </c>
      <c r="E44" s="6" t="inlineStr">
        <is>
          <t>Bajo</t>
        </is>
      </c>
      <c r="F44" s="6" t="n">
        <v>7</v>
      </c>
    </row>
    <row r="45">
      <c r="A45" s="6" t="n">
        <v>5</v>
      </c>
      <c r="B45" s="7" t="inlineStr">
        <is>
          <t>Tabla DETALLE_PEDIDOS</t>
        </is>
      </c>
      <c r="C45" s="7" t="n">
        <v>1</v>
      </c>
      <c r="D45" s="6" t="n">
        <v>5</v>
      </c>
      <c r="E45" s="6" t="inlineStr">
        <is>
          <t>Bajo</t>
        </is>
      </c>
      <c r="F45" s="6" t="n">
        <v>7</v>
      </c>
    </row>
    <row r="46">
      <c r="A46" s="8" t="n"/>
      <c r="B46" s="8" t="n"/>
      <c r="C46" s="8" t="n"/>
      <c r="D46" s="8" t="n"/>
      <c r="E46" s="9" t="inlineStr">
        <is>
          <t>Subtotal Archivos Internos (ILF - 5 Tablas)</t>
        </is>
      </c>
      <c r="F46" s="10">
        <f>SUM(F41:F45)</f>
        <v/>
      </c>
    </row>
    <row r="48">
      <c r="A48" s="3" t="inlineStr">
        <is>
          <t>Archivos Externos (EIF)</t>
        </is>
      </c>
    </row>
    <row r="49">
      <c r="A49" s="4" t="inlineStr">
        <is>
          <t>Núm.</t>
        </is>
      </c>
      <c r="B49" s="5" t="inlineStr">
        <is>
          <t>Servicio / Librería Externa</t>
        </is>
      </c>
      <c r="C49" s="5" t="inlineStr">
        <is>
          <t>Elementos de Registro (RET)</t>
        </is>
      </c>
      <c r="D49" s="4" t="inlineStr">
        <is>
          <t>Elementos de Datos (DET)</t>
        </is>
      </c>
      <c r="E49" s="4" t="inlineStr">
        <is>
          <t>Nivel</t>
        </is>
      </c>
      <c r="F49" s="4" t="inlineStr">
        <is>
          <t>Valor</t>
        </is>
      </c>
    </row>
    <row r="50">
      <c r="A50" s="6" t="n">
        <v>1</v>
      </c>
      <c r="B50" s="7" t="inlineStr">
        <is>
          <t>Librería Generadora de PDF (FPDF / TCPDF / Dompdf)</t>
        </is>
      </c>
      <c r="C50" s="7" t="n">
        <v>1</v>
      </c>
      <c r="D50" s="6" t="n">
        <v>4</v>
      </c>
      <c r="E50" s="6" t="inlineStr">
        <is>
          <t>Bajo</t>
        </is>
      </c>
      <c r="F50" s="6" t="n">
        <v>5</v>
      </c>
    </row>
    <row r="51">
      <c r="A51" s="8" t="n"/>
      <c r="B51" s="8" t="n"/>
      <c r="C51" s="8" t="n"/>
      <c r="D51" s="8" t="n"/>
      <c r="E51" s="9" t="inlineStr">
        <is>
          <t>Subtotal Archivos Externos (EIF)</t>
        </is>
      </c>
      <c r="F51" s="10">
        <f>SUM(F50:F50)</f>
        <v/>
      </c>
    </row>
    <row r="53">
      <c r="A53" s="3" t="inlineStr">
        <is>
          <t>PUNTOS DE FUNCIÓN NO AJUSTADOS (PFNA)</t>
        </is>
      </c>
    </row>
    <row r="54">
      <c r="A54" s="11" t="inlineStr">
        <is>
          <t>Componente del Sistema</t>
        </is>
      </c>
      <c r="B54" s="8" t="n"/>
      <c r="C54" s="8" t="n"/>
      <c r="D54" s="8" t="n"/>
      <c r="E54" s="8" t="n"/>
      <c r="F54" s="11" t="inlineStr">
        <is>
          <t>Valor Subtotal</t>
        </is>
      </c>
    </row>
    <row r="55">
      <c r="A55" s="12" t="inlineStr">
        <is>
          <t>Subtotal Entradas (EI)</t>
        </is>
      </c>
      <c r="B55" s="8" t="n"/>
      <c r="C55" s="8" t="n"/>
      <c r="D55" s="8" t="n"/>
      <c r="E55" s="8" t="n"/>
      <c r="F55" s="13">
        <f>F21</f>
        <v/>
      </c>
    </row>
    <row r="56">
      <c r="A56" s="12" t="inlineStr">
        <is>
          <t>Subtotal Salidas (EO - Reportes PDF)</t>
        </is>
      </c>
      <c r="B56" s="8" t="n"/>
      <c r="C56" s="8" t="n"/>
      <c r="D56" s="8" t="n"/>
      <c r="E56" s="8" t="n"/>
      <c r="F56" s="13">
        <f>F28</f>
        <v/>
      </c>
    </row>
    <row r="57">
      <c r="A57" s="12" t="inlineStr">
        <is>
          <t>Subtotal Peticiones (EQ)</t>
        </is>
      </c>
      <c r="B57" s="8" t="n"/>
      <c r="C57" s="8" t="n"/>
      <c r="D57" s="8" t="n"/>
      <c r="E57" s="8" t="n"/>
      <c r="F57" s="13">
        <f>F37</f>
        <v/>
      </c>
    </row>
    <row r="58">
      <c r="A58" s="12" t="inlineStr">
        <is>
          <t>Subtotal Archivos Internos (ILF - 5 Tablas E-R)</t>
        </is>
      </c>
      <c r="B58" s="8" t="n"/>
      <c r="C58" s="8" t="n"/>
      <c r="D58" s="8" t="n"/>
      <c r="E58" s="8" t="n"/>
      <c r="F58" s="13">
        <f>F46</f>
        <v/>
      </c>
    </row>
    <row r="59">
      <c r="A59" s="12" t="inlineStr">
        <is>
          <t>Subtotal Archivos Externos (EIF)</t>
        </is>
      </c>
      <c r="B59" s="8" t="n"/>
      <c r="C59" s="8" t="n"/>
      <c r="D59" s="8" t="n"/>
      <c r="E59" s="8" t="n"/>
      <c r="F59" s="13">
        <f>F51</f>
        <v/>
      </c>
    </row>
    <row r="60">
      <c r="A60" s="9" t="inlineStr">
        <is>
          <t>TOTAL PUNTOS DE FUNCIÓN NO AJUSTADOS (PFNA)</t>
        </is>
      </c>
      <c r="B60" s="8" t="n"/>
      <c r="C60" s="8" t="n"/>
      <c r="D60" s="8" t="n"/>
      <c r="E60" s="8" t="n"/>
      <c r="F60" s="14">
        <f>SUM(F55:F59)</f>
        <v/>
      </c>
    </row>
    <row r="63">
      <c r="A63" s="3" t="inlineStr">
        <is>
          <t>VALORES DE AJUSTE DE COMPLEJIDAD (FACTORES DE ALBRECHT - Fi)</t>
        </is>
      </c>
    </row>
    <row r="64">
      <c r="A64" s="11" t="inlineStr">
        <is>
          <t>ID</t>
        </is>
      </c>
      <c r="B64" s="11" t="inlineStr">
        <is>
          <t>Factor de Criterio de Complejidad</t>
        </is>
      </c>
      <c r="C64" s="8" t="n"/>
      <c r="D64" s="8" t="n"/>
      <c r="E64" s="11" t="inlineStr">
        <is>
          <t>Escala (0-5)</t>
        </is>
      </c>
      <c r="F64" s="11" t="inlineStr">
        <is>
          <t>Valor Fi</t>
        </is>
      </c>
    </row>
    <row r="65">
      <c r="A65" s="13" t="inlineStr">
        <is>
          <t>F1</t>
        </is>
      </c>
      <c r="B65" s="12" t="inlineStr">
        <is>
          <t>¿Requiere el sistema copias de seguridad y de recuperación fiables?</t>
        </is>
      </c>
      <c r="C65" s="8" t="n"/>
      <c r="D65" s="8" t="n"/>
      <c r="E65" s="6" t="inlineStr">
        <is>
          <t>3 - Medio</t>
        </is>
      </c>
      <c r="F65" s="13" t="n">
        <v>3</v>
      </c>
    </row>
    <row r="66">
      <c r="A66" s="13" t="inlineStr">
        <is>
          <t>F2</t>
        </is>
      </c>
      <c r="B66" s="12" t="inlineStr">
        <is>
          <t>¿Se requieren comunicaciones de datos?</t>
        </is>
      </c>
      <c r="C66" s="8" t="n"/>
      <c r="D66" s="8" t="n"/>
      <c r="E66" s="6" t="inlineStr">
        <is>
          <t>4 - Significativo</t>
        </is>
      </c>
      <c r="F66" s="13" t="n">
        <v>4</v>
      </c>
    </row>
    <row r="67">
      <c r="A67" s="13" t="inlineStr">
        <is>
          <t>F3</t>
        </is>
      </c>
      <c r="B67" s="12" t="inlineStr">
        <is>
          <t>¿Existen funciones de procesamiento distribuido?</t>
        </is>
      </c>
      <c r="C67" s="8" t="n"/>
      <c r="D67" s="8" t="n"/>
      <c r="E67" s="6" t="inlineStr">
        <is>
          <t>2 - Moderado</t>
        </is>
      </c>
      <c r="F67" s="13" t="n">
        <v>2</v>
      </c>
    </row>
    <row r="68">
      <c r="A68" s="13" t="inlineStr">
        <is>
          <t>F4</t>
        </is>
      </c>
      <c r="B68" s="12" t="inlineStr">
        <is>
          <t>¿Es crítico el rendimiento?</t>
        </is>
      </c>
      <c r="C68" s="8" t="n"/>
      <c r="D68" s="8" t="n"/>
      <c r="E68" s="6" t="inlineStr">
        <is>
          <t>3 - Medio</t>
        </is>
      </c>
      <c r="F68" s="13" t="n">
        <v>3</v>
      </c>
    </row>
    <row r="69">
      <c r="A69" s="13" t="inlineStr">
        <is>
          <t>F5</t>
        </is>
      </c>
      <c r="B69" s="12" t="inlineStr">
        <is>
          <t>¿Será ejecutado el sistema en un entorno operativo existente?</t>
        </is>
      </c>
      <c r="C69" s="8" t="n"/>
      <c r="D69" s="8" t="n"/>
      <c r="E69" s="6" t="inlineStr">
        <is>
          <t>3 - Medio</t>
        </is>
      </c>
      <c r="F69" s="13" t="n">
        <v>3</v>
      </c>
    </row>
    <row r="70">
      <c r="A70" s="13" t="inlineStr">
        <is>
          <t>F6</t>
        </is>
      </c>
      <c r="B70" s="12" t="inlineStr">
        <is>
          <t>¿Requiere el sistema entrada de datos interactiva?</t>
        </is>
      </c>
      <c r="C70" s="8" t="n"/>
      <c r="D70" s="8" t="n"/>
      <c r="E70" s="6" t="inlineStr">
        <is>
          <t>5 - Esencial</t>
        </is>
      </c>
      <c r="F70" s="13" t="n">
        <v>5</v>
      </c>
    </row>
    <row r="71">
      <c r="A71" s="13" t="inlineStr">
        <is>
          <t>F7</t>
        </is>
      </c>
      <c r="B71" s="12" t="inlineStr">
        <is>
          <t>¿Requiere entrada de datos interactiva transacciones en múltiples pantallas?</t>
        </is>
      </c>
      <c r="C71" s="8" t="n"/>
      <c r="D71" s="8" t="n"/>
      <c r="E71" s="6" t="inlineStr">
        <is>
          <t>4 - Significativo</t>
        </is>
      </c>
      <c r="F71" s="13" t="n">
        <v>4</v>
      </c>
    </row>
    <row r="72">
      <c r="A72" s="13" t="inlineStr">
        <is>
          <t>F8</t>
        </is>
      </c>
      <c r="B72" s="12" t="inlineStr">
        <is>
          <t>¿Se actualizan los archivos maestros de forma interactiva?</t>
        </is>
      </c>
      <c r="C72" s="8" t="n"/>
      <c r="D72" s="8" t="n"/>
      <c r="E72" s="6" t="inlineStr">
        <is>
          <t>5 - Esencial</t>
        </is>
      </c>
      <c r="F72" s="13" t="n">
        <v>5</v>
      </c>
    </row>
    <row r="73">
      <c r="A73" s="13" t="inlineStr">
        <is>
          <t>F9</t>
        </is>
      </c>
      <c r="B73" s="12" t="inlineStr">
        <is>
          <t>¿Son complejas las entradas, las salidas, los archivos o las peticiones?</t>
        </is>
      </c>
      <c r="C73" s="8" t="n"/>
      <c r="D73" s="8" t="n"/>
      <c r="E73" s="6" t="inlineStr">
        <is>
          <t>3 - Medio</t>
        </is>
      </c>
      <c r="F73" s="13" t="n">
        <v>3</v>
      </c>
    </row>
    <row r="74">
      <c r="A74" s="13" t="inlineStr">
        <is>
          <t>F10</t>
        </is>
      </c>
      <c r="B74" s="12" t="inlineStr">
        <is>
          <t>¿Es complejo el procesamiento interno?</t>
        </is>
      </c>
      <c r="C74" s="8" t="n"/>
      <c r="D74" s="8" t="n"/>
      <c r="E74" s="6" t="inlineStr">
        <is>
          <t>3 - Medio</t>
        </is>
      </c>
      <c r="F74" s="13" t="n">
        <v>3</v>
      </c>
    </row>
    <row r="75">
      <c r="A75" s="13" t="inlineStr">
        <is>
          <t>F11</t>
        </is>
      </c>
      <c r="B75" s="12" t="inlineStr">
        <is>
          <t>¿Se ha diseñado el código para ser reutilizable?</t>
        </is>
      </c>
      <c r="C75" s="8" t="n"/>
      <c r="D75" s="8" t="n"/>
      <c r="E75" s="6" t="inlineStr">
        <is>
          <t>4 - Significativo</t>
        </is>
      </c>
      <c r="F75" s="13" t="n">
        <v>4</v>
      </c>
    </row>
    <row r="76">
      <c r="A76" s="13" t="inlineStr">
        <is>
          <t>F12</t>
        </is>
      </c>
      <c r="B76" s="12" t="inlineStr">
        <is>
          <t>¿Están incluidas en el diseño la conversión y la instalación?</t>
        </is>
      </c>
      <c r="C76" s="8" t="n"/>
      <c r="D76" s="8" t="n"/>
      <c r="E76" s="6" t="inlineStr">
        <is>
          <t>2 - Moderado</t>
        </is>
      </c>
      <c r="F76" s="13" t="n">
        <v>2</v>
      </c>
    </row>
    <row r="77">
      <c r="A77" s="13" t="inlineStr">
        <is>
          <t>F13</t>
        </is>
      </c>
      <c r="B77" s="12" t="inlineStr">
        <is>
          <t>¿Se ha diseñado el sistema para soportar múltiples instalaciones?</t>
        </is>
      </c>
      <c r="C77" s="8" t="n"/>
      <c r="D77" s="8" t="n"/>
      <c r="E77" s="6" t="inlineStr">
        <is>
          <t>3 - Medio</t>
        </is>
      </c>
      <c r="F77" s="13" t="n">
        <v>3</v>
      </c>
    </row>
    <row r="78">
      <c r="A78" s="13" t="inlineStr">
        <is>
          <t>F14</t>
        </is>
      </c>
      <c r="B78" s="12" t="inlineStr">
        <is>
          <t>¿Se ha diseñado la aplicación para ser fácilmente utilizada?</t>
        </is>
      </c>
      <c r="C78" s="8" t="n"/>
      <c r="D78" s="8" t="n"/>
      <c r="E78" s="6" t="inlineStr">
        <is>
          <t>4 - Significativo</t>
        </is>
      </c>
      <c r="F78" s="13" t="n">
        <v>4</v>
      </c>
    </row>
    <row r="79">
      <c r="A79" s="9" t="inlineStr">
        <is>
          <t>SUMA TOTAL DE FACTORES DE COMPLEJIDAD (SUMA Fi)</t>
        </is>
      </c>
      <c r="B79" s="8" t="n"/>
      <c r="C79" s="8" t="n"/>
      <c r="D79" s="8" t="n"/>
      <c r="E79" s="8" t="n"/>
      <c r="F79" s="10">
        <f>SUM(F65:F78)</f>
        <v/>
      </c>
    </row>
    <row r="82">
      <c r="A82" s="3" t="inlineStr">
        <is>
          <t>CÁLCULO FINAL DE PUNTOS DE FUNCIÓN AJUSTADOS (PFA)</t>
        </is>
      </c>
    </row>
    <row r="83">
      <c r="A83" s="15" t="inlineStr">
        <is>
          <t>Fórmula: PFA = PFNA * [ 0.65 + (0.01 * SUMA(Fi)) ]</t>
        </is>
      </c>
      <c r="B83" s="8" t="n"/>
      <c r="C83" s="8" t="n"/>
      <c r="D83" s="8" t="n"/>
      <c r="E83" s="13" t="inlineStr">
        <is>
          <t>Factor VAF</t>
        </is>
      </c>
      <c r="F83" s="13">
        <f>(0.65 + 0.01*F79)</f>
        <v/>
      </c>
    </row>
    <row r="84">
      <c r="A84" s="16" t="inlineStr">
        <is>
          <t>TOTAL PUNTOS DE FUNCIÓN AJUSTADOS (PFA)</t>
        </is>
      </c>
      <c r="B84" s="8" t="n"/>
      <c r="C84" s="8" t="n"/>
      <c r="D84" s="8" t="n"/>
      <c r="E84" s="8" t="n"/>
      <c r="F84" s="17">
        <f>F60*(0.65+0.01*F79)</f>
        <v/>
      </c>
    </row>
  </sheetData>
  <mergeCells count="33">
    <mergeCell ref="A59:E59"/>
    <mergeCell ref="B67:D67"/>
    <mergeCell ref="A60:E60"/>
    <mergeCell ref="B73:D73"/>
    <mergeCell ref="B78:D78"/>
    <mergeCell ref="B69:D69"/>
    <mergeCell ref="A79:E79"/>
    <mergeCell ref="A54:E54"/>
    <mergeCell ref="A83:D83"/>
    <mergeCell ref="A23:F23"/>
    <mergeCell ref="B74:D74"/>
    <mergeCell ref="B65:D65"/>
    <mergeCell ref="A4:F4"/>
    <mergeCell ref="B68:D68"/>
    <mergeCell ref="A84:E84"/>
    <mergeCell ref="A53:F53"/>
    <mergeCell ref="A56:E56"/>
    <mergeCell ref="B64:D64"/>
    <mergeCell ref="A55:E55"/>
    <mergeCell ref="A63:F63"/>
    <mergeCell ref="A57:E57"/>
    <mergeCell ref="B76:D76"/>
    <mergeCell ref="A48:F48"/>
    <mergeCell ref="B75:D75"/>
    <mergeCell ref="A30:F30"/>
    <mergeCell ref="A39:F39"/>
    <mergeCell ref="B72:D72"/>
    <mergeCell ref="A82:F82"/>
    <mergeCell ref="B66:D66"/>
    <mergeCell ref="B77:D77"/>
    <mergeCell ref="B71:D71"/>
    <mergeCell ref="B70:D70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55" customWidth="1" min="4" max="4"/>
  </cols>
  <sheetData>
    <row r="1">
      <c r="A1" s="1" t="inlineStr">
        <is>
          <t>ESTIMACIÓN DE LÍNEAS DE CÓDIGO (LDC / LOC)</t>
        </is>
      </c>
    </row>
    <row r="2">
      <c r="A2" s="2" t="inlineStr">
        <is>
          <t>LDC promedio por Punto de Función en PHP = 67 LDC/PF</t>
        </is>
      </c>
    </row>
    <row r="4" ht="25" customHeight="1">
      <c r="A4" s="5" t="inlineStr">
        <is>
          <t>Métrica / Concepto</t>
        </is>
      </c>
      <c r="B4" s="4" t="inlineStr">
        <is>
          <t>Valor</t>
        </is>
      </c>
      <c r="C4" s="4" t="inlineStr">
        <is>
          <t>Unidad de Medida</t>
        </is>
      </c>
      <c r="D4" s="5" t="inlineStr">
        <is>
          <t>Descripción / Fórmula</t>
        </is>
      </c>
    </row>
    <row r="5">
      <c r="A5" s="12" t="inlineStr">
        <is>
          <t>Puntos de Función Ajustados (PFA)</t>
        </is>
      </c>
      <c r="B5" s="13">
        <f>'Puntos de Función'!F84</f>
        <v/>
      </c>
      <c r="C5" s="6" t="inlineStr">
        <is>
          <t>PFA</t>
        </is>
      </c>
      <c r="D5" s="12" t="inlineStr">
        <is>
          <t>Total de Puntos de Función Ajustados calculados</t>
        </is>
      </c>
    </row>
    <row r="6">
      <c r="A6" s="12" t="inlineStr">
        <is>
          <t>Factor de Conversión PHP</t>
        </is>
      </c>
      <c r="B6" s="13" t="n">
        <v>67</v>
      </c>
      <c r="C6" s="6" t="inlineStr">
        <is>
          <t>LDC / PF</t>
        </is>
      </c>
      <c r="D6" s="12" t="inlineStr">
        <is>
          <t>Líneas de Código promedio por PF para el lenguaje PHP</t>
        </is>
      </c>
    </row>
    <row r="7">
      <c r="A7" s="15" t="inlineStr">
        <is>
          <t>TOTAL LÍNEAS DE CÓDIGO ESTIMADAS (LDC)</t>
        </is>
      </c>
      <c r="B7" s="14">
        <f>'Puntos de Función'!F84*B6</f>
        <v/>
      </c>
      <c r="C7" s="6" t="inlineStr">
        <is>
          <t>LDC (SLOC)</t>
        </is>
      </c>
      <c r="D7" s="12" t="inlineStr">
        <is>
          <t>Fórmula: LDC = PFA * 67</t>
        </is>
      </c>
    </row>
    <row r="8">
      <c r="A8" s="12" t="inlineStr">
        <is>
          <t>LDC por Módulo CRUD (Promedio por Tabla)</t>
        </is>
      </c>
      <c r="B8" s="13">
        <f>B7/5</f>
        <v/>
      </c>
      <c r="C8" s="6" t="inlineStr">
        <is>
          <t>LDC / Tabla</t>
        </is>
      </c>
      <c r="D8" s="12" t="inlineStr">
        <is>
          <t>Estimado de líneas por tabla (5 tablas del E-R)</t>
        </is>
      </c>
    </row>
    <row r="9">
      <c r="A9" s="12" t="inlineStr">
        <is>
          <t>Estimación de Productividad Estándar</t>
        </is>
      </c>
      <c r="B9" s="13" t="n">
        <v>15</v>
      </c>
      <c r="C9" s="6" t="inlineStr">
        <is>
          <t>LDC / hora</t>
        </is>
      </c>
      <c r="D9" s="12" t="inlineStr">
        <is>
          <t>Promedio de desarrollo y pruebas en PHP</t>
        </is>
      </c>
    </row>
    <row r="10">
      <c r="A10" s="12" t="inlineStr">
        <is>
          <t>Horas de Desarrollo Estimadas</t>
        </is>
      </c>
      <c r="B10" s="13">
        <f>B7/B9</f>
        <v/>
      </c>
      <c r="C10" s="6" t="inlineStr">
        <is>
          <t>Horas Hombre</t>
        </is>
      </c>
      <c r="D10" s="12" t="inlineStr">
        <is>
          <t>Fórmula: Total LDC / 15 LDC por 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2026-10-22T21:11:05Z</dcterms:created>
  <dcterms:modified xmlns:dcterms="http://purl.org/dc/terms/" xmlns:xsi="http://www.w3.org/2001/XMLSchema-instance" xsi:type="dcterms:W3CDTF">2026-10-22T21:11:05Z</dcterms:modified>
</cp:coreProperties>
</file>