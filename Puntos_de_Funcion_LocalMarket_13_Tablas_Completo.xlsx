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Matrices de Referencia" sheetId="2" state="visible" r:id="rId2"/>
    <sheet name="Desglose por Tabla (13 Tablas)" sheetId="3" state="visible" r:id="rId3"/>
    <sheet name="Consolidado PFNA" sheetId="4" state="visible" r:id="rId4"/>
    <sheet name="PF Ajus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04040"/>
      <sz val="10"/>
    </font>
    <font>
      <name val="Calibri"/>
      <b val="1"/>
      <color rgb="00595959"/>
      <sz val="9"/>
    </font>
    <font>
      <name val="Calibri"/>
      <b val="1"/>
      <color rgb="001F4E78"/>
      <sz val="18"/>
    </font>
    <font>
      <name val="Calibri"/>
      <i val="1"/>
      <color rgb="007F7F7F"/>
      <sz val="8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E4620"/>
      <sz val="11"/>
    </font>
    <font>
      <name val="Calibri"/>
      <b val="1"/>
      <color rgb="001F4E78"/>
      <sz val="10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  <fill>
      <patternFill patternType="solid">
        <fgColor rgb="00E2F0D9"/>
        <bgColor rgb="00E2F0D9"/>
      </patternFill>
    </fill>
    <fill>
      <patternFill patternType="solid">
        <fgColor rgb="0041719C"/>
        <bgColor rgb="0041719C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385723"/>
      </top>
      <bottom style="double">
        <color rgb="00385723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0" borderId="1" pivotButton="0" quotePrefix="0" xfId="0"/>
    <xf numFmtId="0" fontId="8" fillId="0" borderId="1" pivotButton="0" quotePrefix="0" xfId="0"/>
    <xf numFmtId="0" fontId="9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10" fillId="5" borderId="2" applyAlignment="1" pivotButton="0" quotePrefix="0" xfId="0">
      <alignment horizontal="center" vertical="center"/>
    </xf>
    <xf numFmtId="3" fontId="10" fillId="5" borderId="2" applyAlignment="1" pivotButton="0" quotePrefix="0" xfId="0">
      <alignment horizontal="center" vertical="center"/>
    </xf>
    <xf numFmtId="164" fontId="10" fillId="5" borderId="2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11" fillId="8" borderId="3" applyAlignment="1" pivotButton="0" quotePrefix="0" xfId="0">
      <alignment horizontal="right" vertical="center"/>
    </xf>
    <xf numFmtId="0" fontId="0" fillId="8" borderId="3" pivotButton="0" quotePrefix="0" xfId="0"/>
    <xf numFmtId="0" fontId="11" fillId="8" borderId="3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10" fillId="5" borderId="2" pivotButton="0" quotePrefix="0" xfId="0"/>
    <xf numFmtId="2" fontId="10" fillId="5" borderId="2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2" customWidth="1" min="2" max="2"/>
    <col width="45" customWidth="1" min="3" max="3"/>
    <col width="16" customWidth="1" min="4" max="4"/>
    <col width="18" customWidth="1" min="5" max="5"/>
    <col width="16" customWidth="1" min="6" max="6"/>
    <col width="28" customWidth="1" min="7" max="7"/>
  </cols>
  <sheetData>
    <row r="1" ht="36" customHeight="1">
      <c r="A1" s="1" t="inlineStr">
        <is>
          <t>LOCALMARKET PWA - INFORME EJECUTIVO DE METRICAS DE SOFTWARE</t>
        </is>
      </c>
    </row>
    <row r="2" ht="20" customHeight="1">
      <c r="A2" s="2" t="inlineStr">
        <is>
          <t>Estimacion de Tamano Funcional mediante Analisis de Puntos de Funcion (IFPUG / Modelo de Albrecht)</t>
        </is>
      </c>
    </row>
    <row r="4" ht="18" customHeight="1">
      <c r="A4" s="3" t="inlineStr">
        <is>
          <t>TABLAS DE BD ANALIZADAS</t>
        </is>
      </c>
      <c r="B4" s="4" t="n"/>
      <c r="C4" s="3" t="inlineStr">
        <is>
          <t>TOTAL TRANSACCIONES</t>
        </is>
      </c>
      <c r="D4" s="4" t="n"/>
      <c r="E4" s="3" t="inlineStr">
        <is>
          <t>TOTAL PFNA (NO AJUSTADOS)</t>
        </is>
      </c>
      <c r="F4" s="3" t="inlineStr">
        <is>
          <t>FACTOR DE AJUSTE (CAF)</t>
        </is>
      </c>
      <c r="G4" s="3" t="inlineStr">
        <is>
          <t>TOTAL PFA (AJUSTADOS)</t>
        </is>
      </c>
    </row>
    <row r="5" ht="30" customHeight="1">
      <c r="A5" s="5" t="inlineStr">
        <is>
          <t>13 Tablas</t>
        </is>
      </c>
      <c r="B5" s="4" t="n"/>
      <c r="C5" s="5" t="inlineStr">
        <is>
          <t>100 Funciones</t>
        </is>
      </c>
      <c r="D5" s="4" t="n"/>
      <c r="E5" s="6">
        <f>'Consolidado PFNA'!H18</f>
        <v/>
      </c>
      <c r="F5" s="6">
        <f>'PF Ajustados'!B26</f>
        <v/>
      </c>
      <c r="G5" s="6">
        <f>'PF Ajustados'!B27</f>
        <v/>
      </c>
    </row>
    <row r="6" ht="16" customHeight="1">
      <c r="A6" s="7" t="inlineStr">
        <is>
          <t>Modelo Relacional Completo</t>
        </is>
      </c>
      <c r="B6" s="4" t="n"/>
      <c r="C6" s="7" t="inlineStr">
        <is>
          <t>EI, EO, EQ, ILF y EIF</t>
        </is>
      </c>
      <c r="D6" s="4" t="n"/>
      <c r="E6" s="7" t="inlineStr">
        <is>
          <t>Puntos Funcionales Brutos</t>
        </is>
      </c>
      <c r="F6" s="7" t="inlineStr">
        <is>
          <t>14 Factores de Albrecht</t>
        </is>
      </c>
      <c r="G6" s="7" t="inlineStr">
        <is>
          <t>Tamano Funcional Final</t>
        </is>
      </c>
    </row>
    <row r="8" ht="24" customHeight="1">
      <c r="A8" s="8" t="inlineStr">
        <is>
          <t>1. FICHA TECNICA DEL SISTEMA ANALIZADO</t>
        </is>
      </c>
    </row>
    <row r="9" ht="20" customHeight="1">
      <c r="A9" s="9" t="inlineStr">
        <is>
          <t>Sistema / Software</t>
        </is>
      </c>
      <c r="B9" s="10" t="inlineStr">
        <is>
          <t>LocalMarket - Plataforma Web Progresiva (PWA) de Comercio Local</t>
        </is>
      </c>
      <c r="C9" s="4" t="n"/>
      <c r="D9" s="4" t="n"/>
      <c r="E9" s="4" t="n"/>
      <c r="F9" s="4" t="n"/>
      <c r="G9" s="4" t="n"/>
    </row>
    <row r="10" ht="20" customHeight="1">
      <c r="A10" s="9" t="inlineStr">
        <is>
          <t>Arquitectura del Sistema</t>
        </is>
      </c>
      <c r="B10" s="10" t="inlineStr">
        <is>
          <t>Node.js, Express, PostgreSQL 18, Service Workers PWA, CSS/Tailwind UI</t>
        </is>
      </c>
      <c r="C10" s="4" t="n"/>
      <c r="D10" s="4" t="n"/>
      <c r="E10" s="4" t="n"/>
      <c r="F10" s="4" t="n"/>
      <c r="G10" s="4" t="n"/>
    </row>
    <row r="11" ht="20" customHeight="1">
      <c r="A11" s="9" t="inlineStr">
        <is>
          <t>Ambito de Metricas</t>
        </is>
      </c>
      <c r="B11" s="10" t="inlineStr">
        <is>
          <t>13 Tablas Principales de la Base de Datos Relacional y sus Interacciones</t>
        </is>
      </c>
      <c r="C11" s="4" t="n"/>
      <c r="D11" s="4" t="n"/>
      <c r="E11" s="4" t="n"/>
      <c r="F11" s="4" t="n"/>
      <c r="G11" s="4" t="n"/>
    </row>
    <row r="12" ht="20" customHeight="1">
      <c r="A12" s="9" t="inlineStr">
        <is>
          <t>Metodologia Aplicada</t>
        </is>
      </c>
      <c r="B12" s="10" t="inlineStr">
        <is>
          <t>Metricas de Puntos de Funcion (IFPUG FPA Release 4.3 / Modelo de Ajuste de Albrecht)</t>
        </is>
      </c>
      <c r="C12" s="4" t="n"/>
      <c r="D12" s="4" t="n"/>
      <c r="E12" s="4" t="n"/>
      <c r="F12" s="4" t="n"/>
      <c r="G12" s="4" t="n"/>
    </row>
    <row r="13" ht="20" customHeight="1">
      <c r="A13" s="9" t="inlineStr">
        <is>
          <t>Documento Base de Referencia</t>
        </is>
      </c>
      <c r="B13" s="10" t="inlineStr">
        <is>
          <t>Plantilla oficial estandarizada 'PuntosDeFuncion.DOC'</t>
        </is>
      </c>
      <c r="C13" s="4" t="n"/>
      <c r="D13" s="4" t="n"/>
      <c r="E13" s="4" t="n"/>
      <c r="F13" s="4" t="n"/>
      <c r="G13" s="4" t="n"/>
    </row>
    <row r="14" ht="20" customHeight="1">
      <c r="A14" s="9" t="inlineStr">
        <is>
          <t>Objetivo del Estudio</t>
        </is>
      </c>
      <c r="B14" s="10" t="inlineStr">
        <is>
          <t>Cuantificar el tamano funcional del software, evaluar la complejidad tecnica y estimar el esfuerzo de desarrollo</t>
        </is>
      </c>
      <c r="C14" s="4" t="n"/>
      <c r="D14" s="4" t="n"/>
      <c r="E14" s="4" t="n"/>
      <c r="F14" s="4" t="n"/>
      <c r="G14" s="4" t="n"/>
    </row>
    <row r="16" ht="24" customHeight="1">
      <c r="A16" s="8" t="inlineStr">
        <is>
          <t>2. DISTRIBUCION DEL TAMANO FUNCIONAL POR TIPO DE COMPONENTE</t>
        </is>
      </c>
    </row>
    <row r="17" ht="22" customHeight="1">
      <c r="A17" s="11" t="inlineStr">
        <is>
          <t>Tipo de Componente Funcional</t>
        </is>
      </c>
      <c r="B17" s="11" t="inlineStr">
        <is>
          <t>Sigla</t>
        </is>
      </c>
      <c r="C17" s="11" t="inlineStr">
        <is>
          <t>Descripcion Operativa</t>
        </is>
      </c>
      <c r="D17" s="11" t="inlineStr">
        <is>
          <t>Total Elementos</t>
        </is>
      </c>
      <c r="E17" s="11" t="inlineStr">
        <is>
          <t>Puntos PFNA</t>
        </is>
      </c>
      <c r="F17" s="11" t="inlineStr">
        <is>
          <t>% del Sistema</t>
        </is>
      </c>
      <c r="G17" s="11" t="inlineStr">
        <is>
          <t>Complejidad Predominante</t>
        </is>
      </c>
    </row>
    <row r="18" ht="20" customHeight="1">
      <c r="A18" s="12" t="inlineStr">
        <is>
          <t>Entradas Externas</t>
        </is>
      </c>
      <c r="B18" s="13" t="inlineStr">
        <is>
          <t>EI</t>
        </is>
      </c>
      <c r="C18" s="14" t="inlineStr">
        <is>
          <t>Transacciones de altas, bajas y modificaciones en tablas</t>
        </is>
      </c>
      <c r="D18" s="15" t="n">
        <v>39</v>
      </c>
      <c r="E18" s="16">
        <f>'Consolidado PFNA'!C18</f>
        <v/>
      </c>
      <c r="F18" s="17">
        <f>E18/'Consolidado PFNA'!H18</f>
        <v/>
      </c>
      <c r="G18" s="15" t="inlineStr">
        <is>
          <t>Bajo - Medio (3-4 PF)</t>
        </is>
      </c>
    </row>
    <row r="19" ht="20" customHeight="1">
      <c r="A19" s="12" t="inlineStr">
        <is>
          <t>Salidas Externas</t>
        </is>
      </c>
      <c r="B19" s="13" t="inlineStr">
        <is>
          <t>EO</t>
        </is>
      </c>
      <c r="C19" s="14" t="inlineStr">
        <is>
          <t>Informes y reportes con calculos derivados y formulas</t>
        </is>
      </c>
      <c r="D19" s="15" t="n">
        <v>16</v>
      </c>
      <c r="E19" s="16">
        <f>'Consolidado PFNA'!D18</f>
        <v/>
      </c>
      <c r="F19" s="17">
        <f>E19/'Consolidado PFNA'!H18</f>
        <v/>
      </c>
      <c r="G19" s="15" t="inlineStr">
        <is>
          <t>Medio (5 PF)</t>
        </is>
      </c>
    </row>
    <row r="20" ht="20" customHeight="1">
      <c r="A20" s="12" t="inlineStr">
        <is>
          <t>Peticiones / Consultas</t>
        </is>
      </c>
      <c r="B20" s="13" t="inlineStr">
        <is>
          <t>EQ</t>
        </is>
      </c>
      <c r="C20" s="14" t="inlineStr">
        <is>
          <t>Consultas directas sin calculos derivados y filtros</t>
        </is>
      </c>
      <c r="D20" s="15" t="n">
        <v>19</v>
      </c>
      <c r="E20" s="16">
        <f>'Consolidado PFNA'!E18</f>
        <v/>
      </c>
      <c r="F20" s="17">
        <f>E20/'Consolidado PFNA'!H18</f>
        <v/>
      </c>
      <c r="G20" s="15" t="inlineStr">
        <is>
          <t>Bajo - Medio (3-4 PF)</t>
        </is>
      </c>
    </row>
    <row r="21" ht="20" customHeight="1">
      <c r="A21" s="12" t="inlineStr">
        <is>
          <t>Archivos Logicos Internos</t>
        </is>
      </c>
      <c r="B21" s="13" t="inlineStr">
        <is>
          <t>ILF</t>
        </is>
      </c>
      <c r="C21" s="14" t="inlineStr">
        <is>
          <t>Las 13 tablas relacionales mantenidas por el sistema</t>
        </is>
      </c>
      <c r="D21" s="15" t="n">
        <v>13</v>
      </c>
      <c r="E21" s="16">
        <f>'Consolidado PFNA'!F18</f>
        <v/>
      </c>
      <c r="F21" s="17">
        <f>E21/'Consolidado PFNA'!H18</f>
        <v/>
      </c>
      <c r="G21" s="15" t="inlineStr">
        <is>
          <t>Bajo (7 PF)</t>
        </is>
      </c>
    </row>
    <row r="22" ht="20" customHeight="1">
      <c r="A22" s="12" t="inlineStr">
        <is>
          <t>Archivos de Interfaz Externa</t>
        </is>
      </c>
      <c r="B22" s="13" t="inlineStr">
        <is>
          <t>EIF</t>
        </is>
      </c>
      <c r="C22" s="14" t="inlineStr">
        <is>
          <t>Servicios externos (Stripe, WhatsApp, SAT, CDN, FCM)</t>
        </is>
      </c>
      <c r="D22" s="15" t="n">
        <v>13</v>
      </c>
      <c r="E22" s="16">
        <f>'Consolidado PFNA'!G18</f>
        <v/>
      </c>
      <c r="F22" s="17">
        <f>E22/'Consolidado PFNA'!H18</f>
        <v/>
      </c>
      <c r="G22" s="15" t="inlineStr">
        <is>
          <t>Bajo (5 PF)</t>
        </is>
      </c>
    </row>
    <row r="23" ht="24" customHeight="1">
      <c r="A23" s="18" t="inlineStr">
        <is>
          <t>TOTAL GENERAL DE COMPONENTES FUNCIONALES (PFNA):</t>
        </is>
      </c>
      <c r="B23" s="19" t="n"/>
      <c r="C23" s="19" t="n"/>
      <c r="D23" s="20">
        <f>SUM(D18:D22)</f>
        <v/>
      </c>
      <c r="E23" s="21">
        <f>SUM(E18:E22)</f>
        <v/>
      </c>
      <c r="F23" s="22">
        <f>SUM(F18:F22)</f>
        <v/>
      </c>
      <c r="G23" s="20" t="inlineStr">
        <is>
          <t>100% Cobertura de BD</t>
        </is>
      </c>
    </row>
  </sheetData>
  <mergeCells count="26">
    <mergeCell ref="C6:D6"/>
    <mergeCell ref="G4"/>
    <mergeCell ref="A8:G8"/>
    <mergeCell ref="B14:G14"/>
    <mergeCell ref="C5:D5"/>
    <mergeCell ref="B13:G13"/>
    <mergeCell ref="A6:B6"/>
    <mergeCell ref="B11:G11"/>
    <mergeCell ref="C4:D4"/>
    <mergeCell ref="B10:G10"/>
    <mergeCell ref="F4"/>
    <mergeCell ref="A23:C23"/>
    <mergeCell ref="B9:G9"/>
    <mergeCell ref="F6"/>
    <mergeCell ref="E5"/>
    <mergeCell ref="A1:G1"/>
    <mergeCell ref="E4"/>
    <mergeCell ref="A5:B5"/>
    <mergeCell ref="A16:G16"/>
    <mergeCell ref="F5"/>
    <mergeCell ref="G6"/>
    <mergeCell ref="A4:B4"/>
    <mergeCell ref="E6"/>
    <mergeCell ref="A2:G2"/>
    <mergeCell ref="B12:G12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6" customWidth="1" min="2" max="2"/>
    <col width="26" customWidth="1" min="3" max="3"/>
    <col width="2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1" t="inlineStr">
        <is>
          <t>MATRICES OFICIALES DE COMPLEJIDAD Y VALORACION (IFPUG / ALBRECHT)</t>
        </is>
      </c>
    </row>
    <row r="2" ht="20" customHeight="1">
      <c r="A2" s="2" t="inlineStr">
        <is>
          <t>Reglas de ponderacion y tablas de referencia estandarizadas de 'PuntosDeFuncion.DOC'</t>
        </is>
      </c>
    </row>
    <row r="4" ht="24" customHeight="1">
      <c r="A4" s="8" t="inlineStr">
        <is>
          <t>1. DEFINICIONES OPERATIVAS DEL MODELO</t>
        </is>
      </c>
    </row>
    <row r="5" ht="20" customHeight="1">
      <c r="A5" s="12" t="inlineStr">
        <is>
          <t>Entrada (EI)</t>
        </is>
      </c>
      <c r="B5" s="14" t="inlineStr">
        <is>
          <t>Transacciones elementales relacionadas con agregar (altas), eliminar (bajas fisicas o logicas) y modificar datos en las tablas.</t>
        </is>
      </c>
      <c r="C5" s="4" t="n"/>
      <c r="D5" s="4" t="n"/>
      <c r="E5" s="4" t="n"/>
      <c r="F5" s="4" t="n"/>
      <c r="G5" s="4" t="n"/>
    </row>
    <row r="6" ht="20" customHeight="1">
      <c r="A6" s="12" t="inlineStr">
        <is>
          <t>Salida (EO)</t>
        </is>
      </c>
      <c r="B6" s="14" t="inlineStr">
        <is>
          <t>Consultas o generacion de informes que involucran calculos derivados (como aquellos matematicos, totales prorrateados, balances).</t>
        </is>
      </c>
      <c r="C6" s="4" t="n"/>
      <c r="D6" s="4" t="n"/>
      <c r="E6" s="4" t="n"/>
      <c r="F6" s="4" t="n"/>
      <c r="G6" s="4" t="n"/>
    </row>
    <row r="7" ht="20" customHeight="1">
      <c r="A7" s="12" t="inlineStr">
        <is>
          <t>Peticion (EQ)</t>
        </is>
      </c>
      <c r="B7" s="14" t="inlineStr">
        <is>
          <t>Consultas directas o generacion de reportes sin calculos matematicos derivados (como listados de catalogos y busquedas).</t>
        </is>
      </c>
      <c r="C7" s="4" t="n"/>
      <c r="D7" s="4" t="n"/>
      <c r="E7" s="4" t="n"/>
      <c r="F7" s="4" t="n"/>
      <c r="G7" s="4" t="n"/>
    </row>
    <row r="8" ht="20" customHeight="1">
      <c r="A8" s="12" t="inlineStr">
        <is>
          <t>Archivos Internos (ILF)</t>
        </is>
      </c>
      <c r="B8" s="14" t="inlineStr">
        <is>
          <t>Archivos logicos o tablas que son mantenidos y alterados directamente por el propio sistema (usuarios, productos, pedidos...).</t>
        </is>
      </c>
      <c r="C8" s="4" t="n"/>
      <c r="D8" s="4" t="n"/>
      <c r="E8" s="4" t="n"/>
      <c r="F8" s="4" t="n"/>
      <c r="G8" s="4" t="n"/>
    </row>
    <row r="9" ht="20" customHeight="1">
      <c r="A9" s="12" t="inlineStr">
        <is>
          <t>Archivos Externos (EIF)</t>
        </is>
      </c>
      <c r="B9" s="14" t="inlineStr">
        <is>
          <t>Archivos referenciados solo para consulta por el sistema pero mantenidos por sistemas externos (Stripe, WhatsApp, SAT...).</t>
        </is>
      </c>
      <c r="C9" s="4" t="n"/>
      <c r="D9" s="4" t="n"/>
      <c r="E9" s="4" t="n"/>
      <c r="F9" s="4" t="n"/>
      <c r="G9" s="4" t="n"/>
    </row>
    <row r="11" ht="24" customHeight="1">
      <c r="A11" s="8" t="inlineStr">
        <is>
          <t>TABLA 1. MATRIZ DE COMPLEJIDAD PARA ENTRADAS EXTERNAS (EI)</t>
        </is>
      </c>
    </row>
    <row r="12" ht="22" customHeight="1">
      <c r="A12" s="23" t="inlineStr">
        <is>
          <t>Archivos Referenciados (FTR)</t>
        </is>
      </c>
      <c r="B12" s="23" t="inlineStr">
        <is>
          <t>1 - 4 Elementos (DET)</t>
        </is>
      </c>
      <c r="C12" s="23" t="inlineStr">
        <is>
          <t>5 - 15 Elementos (DET)</t>
        </is>
      </c>
      <c r="D12" s="23" t="inlineStr">
        <is>
          <t>16 o mas Elementos (DET)</t>
        </is>
      </c>
    </row>
    <row r="13" ht="19" customHeight="1">
      <c r="A13" s="12" t="inlineStr">
        <is>
          <t>Menos de 2 (&lt; 2 FTR)</t>
        </is>
      </c>
      <c r="B13" s="15" t="inlineStr">
        <is>
          <t>Bajo</t>
        </is>
      </c>
      <c r="C13" s="15" t="inlineStr">
        <is>
          <t>Bajo</t>
        </is>
      </c>
      <c r="D13" s="15" t="inlineStr">
        <is>
          <t>Medio</t>
        </is>
      </c>
    </row>
    <row r="14" ht="19" customHeight="1">
      <c r="A14" s="12" t="inlineStr">
        <is>
          <t>2 FTR</t>
        </is>
      </c>
      <c r="B14" s="15" t="inlineStr">
        <is>
          <t>Bajo</t>
        </is>
      </c>
      <c r="C14" s="15" t="inlineStr">
        <is>
          <t>Medio</t>
        </is>
      </c>
      <c r="D14" s="15" t="inlineStr">
        <is>
          <t>Alto</t>
        </is>
      </c>
    </row>
    <row r="15" ht="19" customHeight="1">
      <c r="A15" s="12" t="inlineStr">
        <is>
          <t>Mas de 2 (&gt; 2 FTR)</t>
        </is>
      </c>
      <c r="B15" s="15" t="inlineStr">
        <is>
          <t>Medio</t>
        </is>
      </c>
      <c r="C15" s="15" t="inlineStr">
        <is>
          <t>Alto</t>
        </is>
      </c>
      <c r="D15" s="15" t="inlineStr">
        <is>
          <t>Alto</t>
        </is>
      </c>
    </row>
    <row r="17" ht="24" customHeight="1">
      <c r="A17" s="8" t="inlineStr">
        <is>
          <t>TABLA 2. MATRIZ DE COMPLEJIDAD PARA SALIDAS (EO) Y PETICIONES (EQ)</t>
        </is>
      </c>
    </row>
    <row r="18" ht="22" customHeight="1">
      <c r="A18" s="23" t="inlineStr">
        <is>
          <t>Archivos Referenciados (FTR)</t>
        </is>
      </c>
      <c r="B18" s="23" t="inlineStr">
        <is>
          <t>1 - 5 Elementos (DET)</t>
        </is>
      </c>
      <c r="C18" s="23" t="inlineStr">
        <is>
          <t>6 - 19 Elementos (DET)</t>
        </is>
      </c>
      <c r="D18" s="23" t="inlineStr">
        <is>
          <t>20 o mas Elementos (DET)</t>
        </is>
      </c>
    </row>
    <row r="19" ht="19" customHeight="1">
      <c r="A19" s="12" t="inlineStr">
        <is>
          <t>Menos que 2 (&lt; 2 FTR)</t>
        </is>
      </c>
      <c r="B19" s="15" t="inlineStr">
        <is>
          <t>Bajo</t>
        </is>
      </c>
      <c r="C19" s="15" t="inlineStr">
        <is>
          <t>Bajo</t>
        </is>
      </c>
      <c r="D19" s="15" t="inlineStr">
        <is>
          <t>Medio</t>
        </is>
      </c>
    </row>
    <row r="20" ht="19" customHeight="1">
      <c r="A20" s="12" t="inlineStr">
        <is>
          <t>2 - 3 FTR</t>
        </is>
      </c>
      <c r="B20" s="15" t="inlineStr">
        <is>
          <t>Bajo</t>
        </is>
      </c>
      <c r="C20" s="15" t="inlineStr">
        <is>
          <t>Medio</t>
        </is>
      </c>
      <c r="D20" s="15" t="inlineStr">
        <is>
          <t>Alto</t>
        </is>
      </c>
    </row>
    <row r="21" ht="19" customHeight="1">
      <c r="A21" s="12" t="inlineStr">
        <is>
          <t>Mas de 3 (&gt; 3 FTR)</t>
        </is>
      </c>
      <c r="B21" s="15" t="inlineStr">
        <is>
          <t>Medio</t>
        </is>
      </c>
      <c r="C21" s="15" t="inlineStr">
        <is>
          <t>Alto</t>
        </is>
      </c>
      <c r="D21" s="15" t="inlineStr">
        <is>
          <t>Alto</t>
        </is>
      </c>
    </row>
    <row r="23" ht="24" customHeight="1">
      <c r="A23" s="8" t="inlineStr">
        <is>
          <t>TABLA 3. MATRIZ DE COMPLEJIDAD PARA ARCHIVOS INTERNOS (ILF) Y EXTERNOS (EIF)</t>
        </is>
      </c>
    </row>
    <row r="24" ht="22" customHeight="1">
      <c r="A24" s="23" t="inlineStr">
        <is>
          <t>Tipos de Registro (RET)</t>
        </is>
      </c>
      <c r="B24" s="23" t="inlineStr">
        <is>
          <t>1 - 19 Elementos (DET)</t>
        </is>
      </c>
      <c r="C24" s="23" t="inlineStr">
        <is>
          <t>20 - 50 Elementos (DET)</t>
        </is>
      </c>
      <c r="D24" s="23" t="inlineStr">
        <is>
          <t>51 o mas Elementos (DET)</t>
        </is>
      </c>
    </row>
    <row r="25" ht="19" customHeight="1">
      <c r="A25" s="12" t="inlineStr">
        <is>
          <t>Menos de 2 (1 RET)</t>
        </is>
      </c>
      <c r="B25" s="15" t="inlineStr">
        <is>
          <t>Bajo</t>
        </is>
      </c>
      <c r="C25" s="15" t="inlineStr">
        <is>
          <t>Bajo</t>
        </is>
      </c>
      <c r="D25" s="15" t="inlineStr">
        <is>
          <t>Medio</t>
        </is>
      </c>
    </row>
    <row r="26" ht="19" customHeight="1">
      <c r="A26" s="12" t="inlineStr">
        <is>
          <t>2 - 5 RET</t>
        </is>
      </c>
      <c r="B26" s="15" t="inlineStr">
        <is>
          <t>Bajo</t>
        </is>
      </c>
      <c r="C26" s="15" t="inlineStr">
        <is>
          <t>Medio</t>
        </is>
      </c>
      <c r="D26" s="15" t="inlineStr">
        <is>
          <t>Alto</t>
        </is>
      </c>
    </row>
    <row r="27" ht="19" customHeight="1">
      <c r="A27" s="12" t="inlineStr">
        <is>
          <t>Mas de 5 (&gt; 5 RET)</t>
        </is>
      </c>
      <c r="B27" s="15" t="inlineStr">
        <is>
          <t>Medio</t>
        </is>
      </c>
      <c r="C27" s="15" t="inlineStr">
        <is>
          <t>Alto</t>
        </is>
      </c>
      <c r="D27" s="15" t="inlineStr">
        <is>
          <t>Alto</t>
        </is>
      </c>
    </row>
    <row r="29" ht="24" customHeight="1">
      <c r="A29" s="8" t="inlineStr">
        <is>
          <t>TABLA 4. TABLA DE PONDERACION OFICIAL DE PUNTOS DE FUNCION NO AJUSTADOS</t>
        </is>
      </c>
    </row>
    <row r="30" ht="22" customHeight="1">
      <c r="A30" s="11" t="inlineStr">
        <is>
          <t>Componente Funcional</t>
        </is>
      </c>
      <c r="B30" s="11" t="inlineStr">
        <is>
          <t>Bajo</t>
        </is>
      </c>
      <c r="C30" s="11" t="inlineStr">
        <is>
          <t>Medio</t>
        </is>
      </c>
      <c r="D30" s="11" t="inlineStr">
        <is>
          <t>Alto</t>
        </is>
      </c>
    </row>
    <row r="31" ht="19" customHeight="1">
      <c r="A31" s="12" t="inlineStr">
        <is>
          <t>Entradas Externas (EI)</t>
        </is>
      </c>
      <c r="B31" s="15" t="n">
        <v>3</v>
      </c>
      <c r="C31" s="15" t="n">
        <v>4</v>
      </c>
      <c r="D31" s="15" t="n">
        <v>6</v>
      </c>
    </row>
    <row r="32" ht="19" customHeight="1">
      <c r="A32" s="12" t="inlineStr">
        <is>
          <t>Salidas Externas (EO)</t>
        </is>
      </c>
      <c r="B32" s="15" t="n">
        <v>4</v>
      </c>
      <c r="C32" s="15" t="n">
        <v>5</v>
      </c>
      <c r="D32" s="15" t="n">
        <v>7</v>
      </c>
    </row>
    <row r="33" ht="19" customHeight="1">
      <c r="A33" s="12" t="inlineStr">
        <is>
          <t>Peticiones / Consultas (EQ)</t>
        </is>
      </c>
      <c r="B33" s="15" t="n">
        <v>3</v>
      </c>
      <c r="C33" s="15" t="n">
        <v>4</v>
      </c>
      <c r="D33" s="15" t="n">
        <v>6</v>
      </c>
    </row>
    <row r="34" ht="19" customHeight="1">
      <c r="A34" s="12" t="inlineStr">
        <is>
          <t>Archivos Logicos Internos (ILF)</t>
        </is>
      </c>
      <c r="B34" s="15" t="n">
        <v>7</v>
      </c>
      <c r="C34" s="15" t="n">
        <v>10</v>
      </c>
      <c r="D34" s="15" t="n">
        <v>15</v>
      </c>
    </row>
    <row r="35" ht="19" customHeight="1">
      <c r="A35" s="12" t="inlineStr">
        <is>
          <t>Archivos de Interfaz Externa (EIF)</t>
        </is>
      </c>
      <c r="B35" s="15" t="n">
        <v>5</v>
      </c>
      <c r="C35" s="15" t="n">
        <v>7</v>
      </c>
      <c r="D35" s="15" t="n">
        <v>10</v>
      </c>
    </row>
    <row r="37" ht="24" customHeight="1">
      <c r="A37" s="8" t="inlineStr">
        <is>
          <t>5. ESCALA DE GRADOS DE INFLUENCIA DE ALBRECHT (0 A 5)</t>
        </is>
      </c>
    </row>
    <row r="38" ht="22" customHeight="1">
      <c r="A38" s="11" t="inlineStr">
        <is>
          <t>Nivel</t>
        </is>
      </c>
      <c r="B38" s="11" t="inlineStr">
        <is>
          <t>Significado</t>
        </is>
      </c>
      <c r="C38" s="11" t="inlineStr">
        <is>
          <t>Criterio de Evaluacion</t>
        </is>
      </c>
      <c r="D38" s="4" t="n"/>
      <c r="E38" s="4" t="n"/>
      <c r="F38" s="4" t="n"/>
      <c r="G38" s="4" t="n"/>
    </row>
    <row r="39" ht="19" customHeight="1">
      <c r="A39" s="13" t="n">
        <v>0</v>
      </c>
      <c r="B39" s="12" t="inlineStr">
        <is>
          <t>Sin influencia</t>
        </is>
      </c>
      <c r="C39" s="14" t="inlineStr">
        <is>
          <t>La caracteristica no esta presente en el sistema o no influye en absoluto.</t>
        </is>
      </c>
      <c r="D39" s="4" t="n"/>
      <c r="E39" s="4" t="n"/>
      <c r="F39" s="4" t="n"/>
      <c r="G39" s="4" t="n"/>
    </row>
    <row r="40" ht="19" customHeight="1">
      <c r="A40" s="13" t="n">
        <v>1</v>
      </c>
      <c r="B40" s="12" t="inlineStr">
        <is>
          <t>Incidental</t>
        </is>
      </c>
      <c r="C40" s="14" t="inlineStr">
        <is>
          <t>La caracteristica tiene una influencia minima en el desarrollo del sistema.</t>
        </is>
      </c>
      <c r="D40" s="4" t="n"/>
      <c r="E40" s="4" t="n"/>
      <c r="F40" s="4" t="n"/>
      <c r="G40" s="4" t="n"/>
    </row>
    <row r="41" ht="19" customHeight="1">
      <c r="A41" s="13" t="n">
        <v>2</v>
      </c>
      <c r="B41" s="12" t="inlineStr">
        <is>
          <t>Moderado</t>
        </is>
      </c>
      <c r="C41" s="14" t="inlineStr">
        <is>
          <t>La caracteristica tiene una influencia menor o moderada en el diseno.</t>
        </is>
      </c>
      <c r="D41" s="4" t="n"/>
      <c r="E41" s="4" t="n"/>
      <c r="F41" s="4" t="n"/>
      <c r="G41" s="4" t="n"/>
    </row>
    <row r="42" ht="19" customHeight="1">
      <c r="A42" s="13" t="n">
        <v>3</v>
      </c>
      <c r="B42" s="12" t="inlineStr">
        <is>
          <t>Medio</t>
        </is>
      </c>
      <c r="C42" s="14" t="inlineStr">
        <is>
          <t>La caracteristica tiene una influencia tipica o promedio en la aplicacion.</t>
        </is>
      </c>
      <c r="D42" s="4" t="n"/>
      <c r="E42" s="4" t="n"/>
      <c r="F42" s="4" t="n"/>
      <c r="G42" s="4" t="n"/>
    </row>
    <row r="43" ht="19" customHeight="1">
      <c r="A43" s="13" t="n">
        <v>4</v>
      </c>
      <c r="B43" s="12" t="inlineStr">
        <is>
          <t>Significativo</t>
        </is>
      </c>
      <c r="C43" s="14" t="inlineStr">
        <is>
          <t>La caracteristica es un requerimiento fuerte y clave en el sistema.</t>
        </is>
      </c>
      <c r="D43" s="4" t="n"/>
      <c r="E43" s="4" t="n"/>
      <c r="F43" s="4" t="n"/>
      <c r="G43" s="4" t="n"/>
    </row>
    <row r="44" ht="19" customHeight="1">
      <c r="A44" s="13" t="n">
        <v>5</v>
      </c>
      <c r="B44" s="12" t="inlineStr">
        <is>
          <t>Esencial</t>
        </is>
      </c>
      <c r="C44" s="14" t="inlineStr">
        <is>
          <t>La caracteristica es critica e indispensable; el sistema no funciona sin ella.</t>
        </is>
      </c>
      <c r="D44" s="4" t="n"/>
      <c r="E44" s="4" t="n"/>
      <c r="F44" s="4" t="n"/>
      <c r="G44" s="4" t="n"/>
    </row>
  </sheetData>
  <mergeCells count="20">
    <mergeCell ref="A17:G17"/>
    <mergeCell ref="C42:G42"/>
    <mergeCell ref="A4:G4"/>
    <mergeCell ref="B8:G8"/>
    <mergeCell ref="A29:G29"/>
    <mergeCell ref="B9:G9"/>
    <mergeCell ref="C44:G44"/>
    <mergeCell ref="C41:G41"/>
    <mergeCell ref="C40:G40"/>
    <mergeCell ref="A11:G11"/>
    <mergeCell ref="B6:G6"/>
    <mergeCell ref="A1:G1"/>
    <mergeCell ref="C43:G43"/>
    <mergeCell ref="B5:G5"/>
    <mergeCell ref="C39:G39"/>
    <mergeCell ref="B7:G7"/>
    <mergeCell ref="A37:G37"/>
    <mergeCell ref="C38:G38"/>
    <mergeCell ref="A2:G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48" customWidth="1" min="2" max="2"/>
    <col width="24" customWidth="1" min="3" max="3"/>
    <col width="38" customWidth="1" min="4" max="4"/>
    <col width="14" customWidth="1" min="5" max="5"/>
    <col width="18" customWidth="1" min="6" max="6"/>
  </cols>
  <sheetData>
    <row r="1" ht="36" customHeight="1">
      <c r="A1" s="1" t="inlineStr">
        <is>
          <t>DESGLOSE COMPLETO DE PUNTOS DE FUNCION NO AJUSTADOS (PFNA) - 13 TABLAS BD</t>
        </is>
      </c>
    </row>
    <row r="2" ht="20" customHeight="1">
      <c r="A2" s="2" t="inlineStr">
        <is>
          <t>Especificacion individual de las 5 Tablas del documento de referencia por cada entidad de la BD LocalMarket</t>
        </is>
      </c>
    </row>
    <row r="4" ht="28" customHeight="1">
      <c r="A4" s="24" t="inlineStr">
        <is>
          <t>TABLA 1: USUARIOS (CUENTAS, PERFILES Y AUTENTICACION)</t>
        </is>
      </c>
    </row>
    <row r="5" ht="22" customHeight="1">
      <c r="A5" s="25" t="inlineStr">
        <is>
          <t>Tabla 1. Entradas (EI) - Tabla: usuarios</t>
        </is>
      </c>
    </row>
    <row r="6" ht="22" customHeight="1">
      <c r="A6" s="11" t="inlineStr">
        <is>
          <t>Num.</t>
        </is>
      </c>
      <c r="B6" s="11" t="inlineStr">
        <is>
          <t>Entrada / Transaccion</t>
        </is>
      </c>
      <c r="C6" s="11" t="inlineStr">
        <is>
          <t>Archivos referidos (FTR)</t>
        </is>
      </c>
      <c r="D6" s="11" t="inlineStr">
        <is>
          <t>Elementos de datos (DET)</t>
        </is>
      </c>
      <c r="E6" s="11" t="inlineStr">
        <is>
          <t>Nivel</t>
        </is>
      </c>
      <c r="F6" s="11" t="inlineStr">
        <is>
          <t>Valor</t>
        </is>
      </c>
    </row>
    <row r="7" ht="20" customHeight="1">
      <c r="A7" s="15" t="n">
        <v>1</v>
      </c>
      <c r="B7" s="14" t="inlineStr">
        <is>
          <t>Registro de Nuevo Usuario (Alta en Plataforma)</t>
        </is>
      </c>
      <c r="C7" s="15" t="inlineStr">
        <is>
          <t>2 (usuarios, roles)</t>
        </is>
      </c>
      <c r="D7" s="15" t="inlineStr">
        <is>
          <t>9 (id_rol, nombre, correo, pass, tel...)</t>
        </is>
      </c>
      <c r="E7" s="15" t="inlineStr">
        <is>
          <t>Medio</t>
        </is>
      </c>
      <c r="F7" s="13" t="n">
        <v>4</v>
      </c>
    </row>
    <row r="8" ht="20" customHeight="1">
      <c r="A8" s="26" t="n">
        <v>2</v>
      </c>
      <c r="B8" s="27" t="inlineStr">
        <is>
          <t>Actualizacion de Perfil de Usuario (Modificacion)</t>
        </is>
      </c>
      <c r="C8" s="26" t="inlineStr">
        <is>
          <t>1 (usuarios)</t>
        </is>
      </c>
      <c r="D8" s="26" t="inlineStr">
        <is>
          <t>6 (nombre, telefono, foto, correo...)</t>
        </is>
      </c>
      <c r="E8" s="26" t="inlineStr">
        <is>
          <t>Bajo</t>
        </is>
      </c>
      <c r="F8" s="28" t="n">
        <v>3</v>
      </c>
    </row>
    <row r="9" ht="20" customHeight="1">
      <c r="A9" s="15" t="n">
        <v>3</v>
      </c>
      <c r="B9" s="14" t="inlineStr">
        <is>
          <t>Baja / Suspension de Cuenta de Usuario</t>
        </is>
      </c>
      <c r="C9" s="15" t="inlineStr">
        <is>
          <t>2 (usuarios, control_suspensiones)</t>
        </is>
      </c>
      <c r="D9" s="15" t="inlineStr">
        <is>
          <t>2 (id_usuario, estado_cuenta)</t>
        </is>
      </c>
      <c r="E9" s="15" t="inlineStr">
        <is>
          <t>Bajo</t>
        </is>
      </c>
      <c r="F9" s="13" t="n">
        <v>3</v>
      </c>
    </row>
    <row r="10" ht="21" customHeight="1">
      <c r="A10" s="29" t="inlineStr">
        <is>
          <t>Subtotal EI (usuarios):</t>
        </is>
      </c>
      <c r="B10" s="30" t="n"/>
      <c r="C10" s="30" t="n"/>
      <c r="D10" s="30" t="n"/>
      <c r="E10" s="30" t="n"/>
      <c r="F10" s="31">
        <f>SUM(F7:F9)</f>
        <v/>
      </c>
    </row>
    <row r="11" ht="22" customHeight="1">
      <c r="A11" s="25" t="inlineStr">
        <is>
          <t>Tabla 2. Salidas (EO) - Tabla: usuarios</t>
        </is>
      </c>
    </row>
    <row r="12" ht="22" customHeight="1">
      <c r="A12" s="11" t="inlineStr">
        <is>
          <t>Num.</t>
        </is>
      </c>
      <c r="B12" s="11" t="inlineStr">
        <is>
          <t>Salida (Reporte con Calculos)</t>
        </is>
      </c>
      <c r="C12" s="11" t="inlineStr">
        <is>
          <t>Archivos referidos (FTR)</t>
        </is>
      </c>
      <c r="D12" s="11" t="inlineStr">
        <is>
          <t>Elementos de datos (DET)</t>
        </is>
      </c>
      <c r="E12" s="11" t="inlineStr">
        <is>
          <t>Nivel</t>
        </is>
      </c>
      <c r="F12" s="11" t="inlineStr">
        <is>
          <t>Valor</t>
        </is>
      </c>
    </row>
    <row r="13" ht="20" customHeight="1">
      <c r="A13" s="15" t="n">
        <v>1</v>
      </c>
      <c r="B13" s="14" t="inlineStr">
        <is>
          <t>Reporte de Actividad y Comisiones por Usuario (Calculo de ventas brutas, retenciones y saldo neto)</t>
        </is>
      </c>
      <c r="C13" s="15" t="inlineStr">
        <is>
          <t>3 (usuarios, pedidos, detalle_pedidos)</t>
        </is>
      </c>
      <c r="D13" s="15" t="inlineStr">
        <is>
          <t>8 (id_usuario, nombre, total_ventas, comision_pct, saldo_favor...)</t>
        </is>
      </c>
      <c r="E13" s="15" t="inlineStr">
        <is>
          <t>Medio</t>
        </is>
      </c>
      <c r="F13" s="13" t="n">
        <v>5</v>
      </c>
    </row>
    <row r="14" ht="20" customHeight="1">
      <c r="A14" s="26" t="n">
        <v>2</v>
      </c>
      <c r="B14" s="27" t="inlineStr">
        <is>
          <t>Resumen Financiero y Balance de Credito en Plataforma (Calculo de compras totales y limite)</t>
        </is>
      </c>
      <c r="C14" s="26" t="inlineStr">
        <is>
          <t>2 (usuarios, pedidos)</t>
        </is>
      </c>
      <c r="D14" s="26" t="inlineStr">
        <is>
          <t>6 (id_usuario, total_compras, saldo_disponible, credito_usado...)</t>
        </is>
      </c>
      <c r="E14" s="26" t="inlineStr">
        <is>
          <t>Medio</t>
        </is>
      </c>
      <c r="F14" s="28" t="n">
        <v>5</v>
      </c>
    </row>
    <row r="15" ht="21" customHeight="1">
      <c r="A15" s="29" t="inlineStr">
        <is>
          <t>Subtotal EO (usuarios):</t>
        </is>
      </c>
      <c r="B15" s="30" t="n"/>
      <c r="C15" s="30" t="n"/>
      <c r="D15" s="30" t="n"/>
      <c r="E15" s="30" t="n"/>
      <c r="F15" s="31">
        <f>SUM(F13:F14)</f>
        <v/>
      </c>
    </row>
    <row r="16" ht="22" customHeight="1">
      <c r="A16" s="25" t="inlineStr">
        <is>
          <t>Tabla 3. Peticiones (EQ) - Tabla: usuarios</t>
        </is>
      </c>
    </row>
    <row r="17" ht="22" customHeight="1">
      <c r="A17" s="11" t="inlineStr">
        <is>
          <t>Num.</t>
        </is>
      </c>
      <c r="B17" s="11" t="inlineStr">
        <is>
          <t>Peticion (Consulta Directa)</t>
        </is>
      </c>
      <c r="C17" s="11" t="inlineStr">
        <is>
          <t>Archivos referidos (FTR)</t>
        </is>
      </c>
      <c r="D17" s="11" t="inlineStr">
        <is>
          <t>Elementos de datos (DET)</t>
        </is>
      </c>
      <c r="E17" s="11" t="inlineStr">
        <is>
          <t>Nivel</t>
        </is>
      </c>
      <c r="F17" s="11" t="inlineStr">
        <is>
          <t>Valor</t>
        </is>
      </c>
    </row>
    <row r="18" ht="20" customHeight="1">
      <c r="A18" s="15" t="n">
        <v>1</v>
      </c>
      <c r="B18" s="14" t="inlineStr">
        <is>
          <t>Consulta de Usuario por ID / Correo (Autenticacion y login)</t>
        </is>
      </c>
      <c r="C18" s="15" t="inlineStr">
        <is>
          <t>2 (usuarios, roles)</t>
        </is>
      </c>
      <c r="D18" s="15" t="inlineStr">
        <is>
          <t>6 (id_usuario, nombre, correo, nombre_rol, estado...)</t>
        </is>
      </c>
      <c r="E18" s="15" t="inlineStr">
        <is>
          <t>Medio</t>
        </is>
      </c>
      <c r="F18" s="13" t="n">
        <v>4</v>
      </c>
    </row>
    <row r="19" ht="20" customHeight="1">
      <c r="A19" s="26" t="n">
        <v>2</v>
      </c>
      <c r="B19" s="27" t="inlineStr">
        <is>
          <t>Listado de Usuarios Registrados en Panel de Control</t>
        </is>
      </c>
      <c r="C19" s="26" t="inlineStr">
        <is>
          <t>2 (usuarios, roles)</t>
        </is>
      </c>
      <c r="D19" s="26" t="inlineStr">
        <is>
          <t>5 (id_usuario, nombre, correo, telefono, rol)</t>
        </is>
      </c>
      <c r="E19" s="26" t="inlineStr">
        <is>
          <t>Bajo</t>
        </is>
      </c>
      <c r="F19" s="28" t="n">
        <v>3</v>
      </c>
    </row>
    <row r="20" ht="21" customHeight="1">
      <c r="A20" s="29" t="inlineStr">
        <is>
          <t>Subtotal EQ (usuarios):</t>
        </is>
      </c>
      <c r="B20" s="30" t="n"/>
      <c r="C20" s="30" t="n"/>
      <c r="D20" s="30" t="n"/>
      <c r="E20" s="30" t="n"/>
      <c r="F20" s="31">
        <f>SUM(F18:F19)</f>
        <v/>
      </c>
    </row>
    <row r="21" ht="22" customHeight="1">
      <c r="A21" s="25" t="inlineStr">
        <is>
          <t>Tabla 4. Archivos Internos (ILF) - Tabla: usuarios</t>
        </is>
      </c>
    </row>
    <row r="22" ht="22" customHeight="1">
      <c r="A22" s="11" t="inlineStr">
        <is>
          <t>Num.</t>
        </is>
      </c>
      <c r="B22" s="11" t="inlineStr">
        <is>
          <t>Archivo / Tabla Interna</t>
        </is>
      </c>
      <c r="C22" s="11" t="inlineStr">
        <is>
          <t>Elementos de registro (RET)</t>
        </is>
      </c>
      <c r="D22" s="11" t="inlineStr">
        <is>
          <t>Elementos de datos (DET)</t>
        </is>
      </c>
      <c r="E22" s="11" t="inlineStr">
        <is>
          <t>Nivel</t>
        </is>
      </c>
      <c r="F22" s="11" t="inlineStr">
        <is>
          <t>Valor</t>
        </is>
      </c>
    </row>
    <row r="23" ht="20" customHeight="1">
      <c r="A23" s="15" t="n">
        <v>1</v>
      </c>
      <c r="B23" s="14" t="inlineStr">
        <is>
          <t>Tabla: usuarios (Entidad maestra de cuentas, seguridad y perfiles)</t>
        </is>
      </c>
      <c r="C23" s="15" t="inlineStr">
        <is>
          <t>1 (Registro Usuario)</t>
        </is>
      </c>
      <c r="D23" s="15" t="inlineStr">
        <is>
          <t>10 (id_usuario, id_rol, nombre, correo, contrasena, tel, foto, otp, estado, fecha)</t>
        </is>
      </c>
      <c r="E23" s="15" t="inlineStr">
        <is>
          <t>Bajo</t>
        </is>
      </c>
      <c r="F23" s="13" t="n">
        <v>7</v>
      </c>
    </row>
    <row r="24" ht="21" customHeight="1">
      <c r="A24" s="29" t="inlineStr">
        <is>
          <t>Subtotal ILF (usuarios):</t>
        </is>
      </c>
      <c r="B24" s="30" t="n"/>
      <c r="C24" s="30" t="n"/>
      <c r="D24" s="30" t="n"/>
      <c r="E24" s="30" t="n"/>
      <c r="F24" s="31">
        <f>SUM(F23:F23)</f>
        <v/>
      </c>
    </row>
    <row r="25" ht="22" customHeight="1">
      <c r="A25" s="25" t="inlineStr">
        <is>
          <t>Tabla 5. Archivos Externos (EIF) - Tabla: usuarios</t>
        </is>
      </c>
    </row>
    <row r="26" ht="22" customHeight="1">
      <c r="A26" s="11" t="inlineStr">
        <is>
          <t>Num.</t>
        </is>
      </c>
      <c r="B26" s="11" t="inlineStr">
        <is>
          <t>Archivo / Interfaz Externa</t>
        </is>
      </c>
      <c r="C26" s="11" t="inlineStr">
        <is>
          <t>Elementos de registro (RET)</t>
        </is>
      </c>
      <c r="D26" s="11" t="inlineStr">
        <is>
          <t>Elementos de datos (DET)</t>
        </is>
      </c>
      <c r="E26" s="11" t="inlineStr">
        <is>
          <t>Nivel</t>
        </is>
      </c>
      <c r="F26" s="11" t="inlineStr">
        <is>
          <t>Valor</t>
        </is>
      </c>
    </row>
    <row r="27" ht="20" customHeight="1">
      <c r="A27" s="15" t="n">
        <v>1</v>
      </c>
      <c r="B27" s="14" t="inlineStr">
        <is>
          <t>Servicio Externo de Validacion de Identidad y SMS (Twilio / Carrier API)</t>
        </is>
      </c>
      <c r="C27" s="15" t="inlineStr">
        <is>
          <t>1 (Registro de Telefono)</t>
        </is>
      </c>
      <c r="D27" s="15" t="inlineStr">
        <is>
          <t>4 (telefono, country_code, carrier_status, valid)</t>
        </is>
      </c>
      <c r="E27" s="15" t="inlineStr">
        <is>
          <t>Bajo</t>
        </is>
      </c>
      <c r="F27" s="13" t="n">
        <v>5</v>
      </c>
    </row>
    <row r="28" ht="21" customHeight="1">
      <c r="A28" s="29" t="inlineStr">
        <is>
          <t>Subtotal EIF (usuarios):</t>
        </is>
      </c>
      <c r="B28" s="30" t="n"/>
      <c r="C28" s="30" t="n"/>
      <c r="D28" s="30" t="n"/>
      <c r="E28" s="30" t="n"/>
      <c r="F28" s="31">
        <f>SUM(F27:F27)</f>
        <v/>
      </c>
    </row>
    <row r="29" ht="24" customHeight="1">
      <c r="A29" s="18" t="inlineStr">
        <is>
          <t>TOTAL PUNTOS DE FUNCION TABLA 1: USUARIOS:</t>
        </is>
      </c>
      <c r="B29" s="19" t="n"/>
      <c r="C29" s="19" t="n"/>
      <c r="D29" s="19" t="n"/>
      <c r="E29" s="19" t="n"/>
      <c r="F29" s="20">
        <f>F10+F15+F20+F24+F28</f>
        <v/>
      </c>
    </row>
    <row r="31" ht="28" customHeight="1">
      <c r="A31" s="24" t="inlineStr">
        <is>
          <t>TABLA 2: ROLES (CONTROL DE ACCESO BASADO EN ROLES - RBAC)</t>
        </is>
      </c>
    </row>
    <row r="32" ht="22" customHeight="1">
      <c r="A32" s="25" t="inlineStr">
        <is>
          <t>Tabla 1. Entradas (EI) - Tabla: roles</t>
        </is>
      </c>
    </row>
    <row r="33" ht="22" customHeight="1">
      <c r="A33" s="11" t="inlineStr">
        <is>
          <t>Num.</t>
        </is>
      </c>
      <c r="B33" s="11" t="inlineStr">
        <is>
          <t>Entrada / Transaccion</t>
        </is>
      </c>
      <c r="C33" s="11" t="inlineStr">
        <is>
          <t>Archivos referidos (FTR)</t>
        </is>
      </c>
      <c r="D33" s="11" t="inlineStr">
        <is>
          <t>Elementos de datos (DET)</t>
        </is>
      </c>
      <c r="E33" s="11" t="inlineStr">
        <is>
          <t>Nivel</t>
        </is>
      </c>
      <c r="F33" s="11" t="inlineStr">
        <is>
          <t>Valor</t>
        </is>
      </c>
    </row>
    <row r="34" ht="20" customHeight="1">
      <c r="A34" s="15" t="n">
        <v>1</v>
      </c>
      <c r="B34" s="14" t="inlineStr">
        <is>
          <t>Crear Nuevo Rol de Sistema (Alta)</t>
        </is>
      </c>
      <c r="C34" s="15" t="inlineStr">
        <is>
          <t>1 (roles)</t>
        </is>
      </c>
      <c r="D34" s="15" t="inlineStr">
        <is>
          <t>3 (id_rol, nombre_rol, descripcion)</t>
        </is>
      </c>
      <c r="E34" s="15" t="inlineStr">
        <is>
          <t>Bajo</t>
        </is>
      </c>
      <c r="F34" s="13" t="n">
        <v>3</v>
      </c>
    </row>
    <row r="35" ht="20" customHeight="1">
      <c r="A35" s="26" t="n">
        <v>2</v>
      </c>
      <c r="B35" s="27" t="inlineStr">
        <is>
          <t>Modificar Privilegios de Rol (Edicion)</t>
        </is>
      </c>
      <c r="C35" s="26" t="inlineStr">
        <is>
          <t>2 (roles, roles_permisos)</t>
        </is>
      </c>
      <c r="D35" s="26" t="inlineStr">
        <is>
          <t>3 (nombre_rol, descripcion, permisos)</t>
        </is>
      </c>
      <c r="E35" s="26" t="inlineStr">
        <is>
          <t>Bajo</t>
        </is>
      </c>
      <c r="F35" s="28" t="n">
        <v>3</v>
      </c>
    </row>
    <row r="36" ht="20" customHeight="1">
      <c r="A36" s="15" t="n">
        <v>3</v>
      </c>
      <c r="B36" s="14" t="inlineStr">
        <is>
          <t>Desactivar / Eliminar Rol no Asignado (Baja)</t>
        </is>
      </c>
      <c r="C36" s="15" t="inlineStr">
        <is>
          <t>2 (roles, usuarios)</t>
        </is>
      </c>
      <c r="D36" s="15" t="inlineStr">
        <is>
          <t>1 (id_rol)</t>
        </is>
      </c>
      <c r="E36" s="15" t="inlineStr">
        <is>
          <t>Bajo</t>
        </is>
      </c>
      <c r="F36" s="13" t="n">
        <v>3</v>
      </c>
    </row>
    <row r="37" ht="21" customHeight="1">
      <c r="A37" s="29" t="inlineStr">
        <is>
          <t>Subtotal EI (roles):</t>
        </is>
      </c>
      <c r="B37" s="30" t="n"/>
      <c r="C37" s="30" t="n"/>
      <c r="D37" s="30" t="n"/>
      <c r="E37" s="30" t="n"/>
      <c r="F37" s="31">
        <f>SUM(F34:F36)</f>
        <v/>
      </c>
    </row>
    <row r="38" ht="22" customHeight="1">
      <c r="A38" s="25" t="inlineStr">
        <is>
          <t>Tabla 2. Salidas (EO) - Tabla: roles</t>
        </is>
      </c>
    </row>
    <row r="39" ht="22" customHeight="1">
      <c r="A39" s="11" t="inlineStr">
        <is>
          <t>Num.</t>
        </is>
      </c>
      <c r="B39" s="11" t="inlineStr">
        <is>
          <t>Salida (Reporte con Calculos)</t>
        </is>
      </c>
      <c r="C39" s="11" t="inlineStr">
        <is>
          <t>Archivos referidos (FTR)</t>
        </is>
      </c>
      <c r="D39" s="11" t="inlineStr">
        <is>
          <t>Elementos de datos (DET)</t>
        </is>
      </c>
      <c r="E39" s="11" t="inlineStr">
        <is>
          <t>Nivel</t>
        </is>
      </c>
      <c r="F39" s="11" t="inlineStr">
        <is>
          <t>Valor</t>
        </is>
      </c>
    </row>
    <row r="40" ht="20" customHeight="1">
      <c r="A40" s="15" t="n">
        <v>1</v>
      </c>
      <c r="B40" s="14" t="inlineStr">
        <is>
          <t>Matriz de Cobertura y Auditoria de Permisos RBAC (Calculo porcentual de cobertura de modulos)</t>
        </is>
      </c>
      <c r="C40" s="15" t="inlineStr">
        <is>
          <t>2 (roles, roles_permisos)</t>
        </is>
      </c>
      <c r="D40" s="15" t="inlineStr">
        <is>
          <t>6 (nombre_rol, total_permisos, permisos_activos, cobertura_pct...)</t>
        </is>
      </c>
      <c r="E40" s="15" t="inlineStr">
        <is>
          <t>Medio</t>
        </is>
      </c>
      <c r="F40" s="13" t="n">
        <v>5</v>
      </c>
    </row>
    <row r="41" ht="21" customHeight="1">
      <c r="A41" s="29" t="inlineStr">
        <is>
          <t>Subtotal EO (roles):</t>
        </is>
      </c>
      <c r="B41" s="30" t="n"/>
      <c r="C41" s="30" t="n"/>
      <c r="D41" s="30" t="n"/>
      <c r="E41" s="30" t="n"/>
      <c r="F41" s="31">
        <f>SUM(F40:F40)</f>
        <v/>
      </c>
    </row>
    <row r="42" ht="22" customHeight="1">
      <c r="A42" s="25" t="inlineStr">
        <is>
          <t>Tabla 3. Peticiones (EQ) - Tabla: roles</t>
        </is>
      </c>
    </row>
    <row r="43" ht="22" customHeight="1">
      <c r="A43" s="11" t="inlineStr">
        <is>
          <t>Num.</t>
        </is>
      </c>
      <c r="B43" s="11" t="inlineStr">
        <is>
          <t>Peticion (Consulta Directa)</t>
        </is>
      </c>
      <c r="C43" s="11" t="inlineStr">
        <is>
          <t>Archivos referidos (FTR)</t>
        </is>
      </c>
      <c r="D43" s="11" t="inlineStr">
        <is>
          <t>Elementos de datos (DET)</t>
        </is>
      </c>
      <c r="E43" s="11" t="inlineStr">
        <is>
          <t>Nivel</t>
        </is>
      </c>
      <c r="F43" s="11" t="inlineStr">
        <is>
          <t>Valor</t>
        </is>
      </c>
    </row>
    <row r="44" ht="20" customHeight="1">
      <c r="A44" s="15" t="n">
        <v>1</v>
      </c>
      <c r="B44" s="14" t="inlineStr">
        <is>
          <t>Catalogo de Roles de Usuario Disponibles</t>
        </is>
      </c>
      <c r="C44" s="15" t="inlineStr">
        <is>
          <t>1 (roles)</t>
        </is>
      </c>
      <c r="D44" s="15" t="inlineStr">
        <is>
          <t>3 (id_rol, nombre_rol, descripcion)</t>
        </is>
      </c>
      <c r="E44" s="15" t="inlineStr">
        <is>
          <t>Bajo</t>
        </is>
      </c>
      <c r="F44" s="13" t="n">
        <v>3</v>
      </c>
    </row>
    <row r="45" ht="20" customHeight="1">
      <c r="A45" s="26" t="n">
        <v>2</v>
      </c>
      <c r="B45" s="27" t="inlineStr">
        <is>
          <t>Consulta de Rol y Permisos de Usuario en Sesion</t>
        </is>
      </c>
      <c r="C45" s="26" t="inlineStr">
        <is>
          <t>2 (roles, usuarios)</t>
        </is>
      </c>
      <c r="D45" s="26" t="inlineStr">
        <is>
          <t>4 (id_usuario, nombre, id_rol, nombre_rol)</t>
        </is>
      </c>
      <c r="E45" s="26" t="inlineStr">
        <is>
          <t>Bajo</t>
        </is>
      </c>
      <c r="F45" s="28" t="n">
        <v>3</v>
      </c>
    </row>
    <row r="46" ht="21" customHeight="1">
      <c r="A46" s="29" t="inlineStr">
        <is>
          <t>Subtotal EQ (roles):</t>
        </is>
      </c>
      <c r="B46" s="30" t="n"/>
      <c r="C46" s="30" t="n"/>
      <c r="D46" s="30" t="n"/>
      <c r="E46" s="30" t="n"/>
      <c r="F46" s="31">
        <f>SUM(F44:F45)</f>
        <v/>
      </c>
    </row>
    <row r="47" ht="22" customHeight="1">
      <c r="A47" s="25" t="inlineStr">
        <is>
          <t>Tabla 4. Archivos Internos (ILF) - Tabla: roles</t>
        </is>
      </c>
    </row>
    <row r="48" ht="22" customHeight="1">
      <c r="A48" s="11" t="inlineStr">
        <is>
          <t>Num.</t>
        </is>
      </c>
      <c r="B48" s="11" t="inlineStr">
        <is>
          <t>Archivo / Tabla Interna</t>
        </is>
      </c>
      <c r="C48" s="11" t="inlineStr">
        <is>
          <t>Elementos de registro (RET)</t>
        </is>
      </c>
      <c r="D48" s="11" t="inlineStr">
        <is>
          <t>Elementos de datos (DET)</t>
        </is>
      </c>
      <c r="E48" s="11" t="inlineStr">
        <is>
          <t>Nivel</t>
        </is>
      </c>
      <c r="F48" s="11" t="inlineStr">
        <is>
          <t>Valor</t>
        </is>
      </c>
    </row>
    <row r="49" ht="20" customHeight="1">
      <c r="A49" s="15" t="n">
        <v>1</v>
      </c>
      <c r="B49" s="14" t="inlineStr">
        <is>
          <t>Tabla: roles (Catalogo de perfiles de seguridad: Admin, Vendedor, Cliente)</t>
        </is>
      </c>
      <c r="C49" s="15" t="inlineStr">
        <is>
          <t>1 (Registro Rol)</t>
        </is>
      </c>
      <c r="D49" s="15" t="inlineStr">
        <is>
          <t>4 (id_rol, nombre_rol, descripcion, fecha_creacion)</t>
        </is>
      </c>
      <c r="E49" s="15" t="inlineStr">
        <is>
          <t>Bajo</t>
        </is>
      </c>
      <c r="F49" s="13" t="n">
        <v>7</v>
      </c>
    </row>
    <row r="50" ht="21" customHeight="1">
      <c r="A50" s="29" t="inlineStr">
        <is>
          <t>Subtotal ILF (roles):</t>
        </is>
      </c>
      <c r="B50" s="30" t="n"/>
      <c r="C50" s="30" t="n"/>
      <c r="D50" s="30" t="n"/>
      <c r="E50" s="30" t="n"/>
      <c r="F50" s="31">
        <f>SUM(F49:F49)</f>
        <v/>
      </c>
    </row>
    <row r="51" ht="22" customHeight="1">
      <c r="A51" s="25" t="inlineStr">
        <is>
          <t>Tabla 5. Archivos Externos (EIF) - Tabla: roles</t>
        </is>
      </c>
    </row>
    <row r="52" ht="22" customHeight="1">
      <c r="A52" s="11" t="inlineStr">
        <is>
          <t>Num.</t>
        </is>
      </c>
      <c r="B52" s="11" t="inlineStr">
        <is>
          <t>Archivo / Interfaz Externa</t>
        </is>
      </c>
      <c r="C52" s="11" t="inlineStr">
        <is>
          <t>Elementos de registro (RET)</t>
        </is>
      </c>
      <c r="D52" s="11" t="inlineStr">
        <is>
          <t>Elementos de datos (DET)</t>
        </is>
      </c>
      <c r="E52" s="11" t="inlineStr">
        <is>
          <t>Nivel</t>
        </is>
      </c>
      <c r="F52" s="11" t="inlineStr">
        <is>
          <t>Valor</t>
        </is>
      </c>
    </row>
    <row r="53" ht="20" customHeight="1">
      <c r="A53" s="15" t="n">
        <v>1</v>
      </c>
      <c r="B53" s="14" t="inlineStr">
        <is>
          <t>Directorio Activo Externo / OAuth 2.0 Provider (Google Identity Services)</t>
        </is>
      </c>
      <c r="C53" s="15" t="inlineStr">
        <is>
          <t>1 (Token Claim)</t>
        </is>
      </c>
      <c r="D53" s="15" t="inlineStr">
        <is>
          <t>4 (sub_id, email, role_claim, expiration)</t>
        </is>
      </c>
      <c r="E53" s="15" t="inlineStr">
        <is>
          <t>Bajo</t>
        </is>
      </c>
      <c r="F53" s="13" t="n">
        <v>5</v>
      </c>
    </row>
    <row r="54" ht="21" customHeight="1">
      <c r="A54" s="29" t="inlineStr">
        <is>
          <t>Subtotal EIF (roles):</t>
        </is>
      </c>
      <c r="B54" s="30" t="n"/>
      <c r="C54" s="30" t="n"/>
      <c r="D54" s="30" t="n"/>
      <c r="E54" s="30" t="n"/>
      <c r="F54" s="31">
        <f>SUM(F53:F53)</f>
        <v/>
      </c>
    </row>
    <row r="55" ht="24" customHeight="1">
      <c r="A55" s="18" t="inlineStr">
        <is>
          <t>TOTAL PUNTOS DE FUNCION TABLA 2: ROLES:</t>
        </is>
      </c>
      <c r="B55" s="19" t="n"/>
      <c r="C55" s="19" t="n"/>
      <c r="D55" s="19" t="n"/>
      <c r="E55" s="19" t="n"/>
      <c r="F55" s="20">
        <f>F37+F41+F46+F50+F54</f>
        <v/>
      </c>
    </row>
    <row r="57" ht="28" customHeight="1">
      <c r="A57" s="24" t="inlineStr">
        <is>
          <t>TABLA 3: VERIFICACIONES_OTP (SEGURIDAD 2FA Y TOKENS TEMPORALES)</t>
        </is>
      </c>
    </row>
    <row r="58" ht="22" customHeight="1">
      <c r="A58" s="25" t="inlineStr">
        <is>
          <t>Tabla 1. Entradas (EI) - Tabla: verificaciones_otp</t>
        </is>
      </c>
    </row>
    <row r="59" ht="22" customHeight="1">
      <c r="A59" s="11" t="inlineStr">
        <is>
          <t>Num.</t>
        </is>
      </c>
      <c r="B59" s="11" t="inlineStr">
        <is>
          <t>Entrada / Transaccion</t>
        </is>
      </c>
      <c r="C59" s="11" t="inlineStr">
        <is>
          <t>Archivos referidos (FTR)</t>
        </is>
      </c>
      <c r="D59" s="11" t="inlineStr">
        <is>
          <t>Elementos de datos (DET)</t>
        </is>
      </c>
      <c r="E59" s="11" t="inlineStr">
        <is>
          <t>Nivel</t>
        </is>
      </c>
      <c r="F59" s="11" t="inlineStr">
        <is>
          <t>Valor</t>
        </is>
      </c>
    </row>
    <row r="60" ht="20" customHeight="1">
      <c r="A60" s="15" t="n">
        <v>1</v>
      </c>
      <c r="B60" s="14" t="inlineStr">
        <is>
          <t>Generar Codigo OTP de Verificacion (Alta de Token)</t>
        </is>
      </c>
      <c r="C60" s="15" t="inlineStr">
        <is>
          <t>2 (verificaciones_otp, usuarios)</t>
        </is>
      </c>
      <c r="D60" s="15" t="inlineStr">
        <is>
          <t>4 (id_usuario, codigo_otp, expiracion, intentos)</t>
        </is>
      </c>
      <c r="E60" s="15" t="inlineStr">
        <is>
          <t>Bajo</t>
        </is>
      </c>
      <c r="F60" s="13" t="n">
        <v>3</v>
      </c>
    </row>
    <row r="61" ht="20" customHeight="1">
      <c r="A61" s="26" t="n">
        <v>2</v>
      </c>
      <c r="B61" s="27" t="inlineStr">
        <is>
          <t>Validar Codigo OTP e Incrementar Fallos (Modificacion)</t>
        </is>
      </c>
      <c r="C61" s="26" t="inlineStr">
        <is>
          <t>2 (verificaciones_otp, usuarios)</t>
        </is>
      </c>
      <c r="D61" s="26" t="inlineStr">
        <is>
          <t>4 (id_usuario, codigo_otp, intentos_fallidos, bloqueado)</t>
        </is>
      </c>
      <c r="E61" s="26" t="inlineStr">
        <is>
          <t>Bajo</t>
        </is>
      </c>
      <c r="F61" s="28" t="n">
        <v>3</v>
      </c>
    </row>
    <row r="62" ht="20" customHeight="1">
      <c r="A62" s="15" t="n">
        <v>3</v>
      </c>
      <c r="B62" s="14" t="inlineStr">
        <is>
          <t>Invalidar / Purgar Tokens Expirados (Baja)</t>
        </is>
      </c>
      <c r="C62" s="15" t="inlineStr">
        <is>
          <t>1 (verificaciones_otp)</t>
        </is>
      </c>
      <c r="D62" s="15" t="inlineStr">
        <is>
          <t>2 (id_otp, expiracion)</t>
        </is>
      </c>
      <c r="E62" s="15" t="inlineStr">
        <is>
          <t>Bajo</t>
        </is>
      </c>
      <c r="F62" s="13" t="n">
        <v>3</v>
      </c>
    </row>
    <row r="63" ht="21" customHeight="1">
      <c r="A63" s="29" t="inlineStr">
        <is>
          <t>Subtotal EI (verificaciones_otp):</t>
        </is>
      </c>
      <c r="B63" s="30" t="n"/>
      <c r="C63" s="30" t="n"/>
      <c r="D63" s="30" t="n"/>
      <c r="E63" s="30" t="n"/>
      <c r="F63" s="31">
        <f>SUM(F60:F62)</f>
        <v/>
      </c>
    </row>
    <row r="64" ht="22" customHeight="1">
      <c r="A64" s="25" t="inlineStr">
        <is>
          <t>Tabla 2. Salidas (EO) - Tabla: verificaciones_otp</t>
        </is>
      </c>
    </row>
    <row r="65" ht="22" customHeight="1">
      <c r="A65" s="11" t="inlineStr">
        <is>
          <t>Num.</t>
        </is>
      </c>
      <c r="B65" s="11" t="inlineStr">
        <is>
          <t>Salida (Reporte con Calculos)</t>
        </is>
      </c>
      <c r="C65" s="11" t="inlineStr">
        <is>
          <t>Archivos referidos (FTR)</t>
        </is>
      </c>
      <c r="D65" s="11" t="inlineStr">
        <is>
          <t>Elementos de datos (DET)</t>
        </is>
      </c>
      <c r="E65" s="11" t="inlineStr">
        <is>
          <t>Nivel</t>
        </is>
      </c>
      <c r="F65" s="11" t="inlineStr">
        <is>
          <t>Valor</t>
        </is>
      </c>
    </row>
    <row r="66" ht="20" customHeight="1">
      <c r="A66" s="15" t="n">
        <v>1</v>
      </c>
      <c r="B66" s="14" t="inlineStr">
        <is>
          <t>Metrica de Tasa de Exito de Autenticacion 2FA (Calculo de ratio de validacion y tiempo medio)</t>
        </is>
      </c>
      <c r="C66" s="15" t="inlineStr">
        <is>
          <t>2 (verificaciones_otp, usuarios)</t>
        </is>
      </c>
      <c r="D66" s="15" t="inlineStr">
        <is>
          <t>6 (total_solicitados, total_validados, tasa_exito_pct, tiempo_seg...)</t>
        </is>
      </c>
      <c r="E66" s="15" t="inlineStr">
        <is>
          <t>Medio</t>
        </is>
      </c>
      <c r="F66" s="13" t="n">
        <v>5</v>
      </c>
    </row>
    <row r="67" ht="21" customHeight="1">
      <c r="A67" s="29" t="inlineStr">
        <is>
          <t>Subtotal EO (verificaciones_otp):</t>
        </is>
      </c>
      <c r="B67" s="30" t="n"/>
      <c r="C67" s="30" t="n"/>
      <c r="D67" s="30" t="n"/>
      <c r="E67" s="30" t="n"/>
      <c r="F67" s="31">
        <f>SUM(F66:F66)</f>
        <v/>
      </c>
    </row>
    <row r="68" ht="22" customHeight="1">
      <c r="A68" s="25" t="inlineStr">
        <is>
          <t>Tabla 3. Peticiones (EQ) - Tabla: verificaciones_otp</t>
        </is>
      </c>
    </row>
    <row r="69" ht="22" customHeight="1">
      <c r="A69" s="11" t="inlineStr">
        <is>
          <t>Num.</t>
        </is>
      </c>
      <c r="B69" s="11" t="inlineStr">
        <is>
          <t>Peticion (Consulta Directa)</t>
        </is>
      </c>
      <c r="C69" s="11" t="inlineStr">
        <is>
          <t>Archivos referidos (FTR)</t>
        </is>
      </c>
      <c r="D69" s="11" t="inlineStr">
        <is>
          <t>Elementos de datos (DET)</t>
        </is>
      </c>
      <c r="E69" s="11" t="inlineStr">
        <is>
          <t>Nivel</t>
        </is>
      </c>
      <c r="F69" s="11" t="inlineStr">
        <is>
          <t>Valor</t>
        </is>
      </c>
    </row>
    <row r="70" ht="20" customHeight="1">
      <c r="A70" s="15" t="n">
        <v>1</v>
      </c>
      <c r="B70" s="14" t="inlineStr">
        <is>
          <t>Consulta de Estatus de Bloqueo OTP por Usuario</t>
        </is>
      </c>
      <c r="C70" s="15" t="inlineStr">
        <is>
          <t>2 (verificaciones_otp, usuarios)</t>
        </is>
      </c>
      <c r="D70" s="15" t="inlineStr">
        <is>
          <t>4 (id_usuario, intentos_fallidos, bloqueado_hasta, activo)</t>
        </is>
      </c>
      <c r="E70" s="15" t="inlineStr">
        <is>
          <t>Bajo</t>
        </is>
      </c>
      <c r="F70" s="13" t="n">
        <v>3</v>
      </c>
    </row>
    <row r="71" ht="21" customHeight="1">
      <c r="A71" s="29" t="inlineStr">
        <is>
          <t>Subtotal EQ (verificaciones_otp):</t>
        </is>
      </c>
      <c r="B71" s="30" t="n"/>
      <c r="C71" s="30" t="n"/>
      <c r="D71" s="30" t="n"/>
      <c r="E71" s="30" t="n"/>
      <c r="F71" s="31">
        <f>SUM(F70:F70)</f>
        <v/>
      </c>
    </row>
    <row r="72" ht="22" customHeight="1">
      <c r="A72" s="25" t="inlineStr">
        <is>
          <t>Tabla 4. Archivos Internos (ILF) - Tabla: verificaciones_otp</t>
        </is>
      </c>
    </row>
    <row r="73" ht="22" customHeight="1">
      <c r="A73" s="11" t="inlineStr">
        <is>
          <t>Num.</t>
        </is>
      </c>
      <c r="B73" s="11" t="inlineStr">
        <is>
          <t>Archivo / Tabla Interna</t>
        </is>
      </c>
      <c r="C73" s="11" t="inlineStr">
        <is>
          <t>Elementos de registro (RET)</t>
        </is>
      </c>
      <c r="D73" s="11" t="inlineStr">
        <is>
          <t>Elementos de datos (DET)</t>
        </is>
      </c>
      <c r="E73" s="11" t="inlineStr">
        <is>
          <t>Nivel</t>
        </is>
      </c>
      <c r="F73" s="11" t="inlineStr">
        <is>
          <t>Valor</t>
        </is>
      </c>
    </row>
    <row r="74" ht="20" customHeight="1">
      <c r="A74" s="15" t="n">
        <v>1</v>
      </c>
      <c r="B74" s="14" t="inlineStr">
        <is>
          <t>Tabla: verificaciones_otp (Almacen transaccional de claves temporales de 2FA)</t>
        </is>
      </c>
      <c r="C74" s="15" t="inlineStr">
        <is>
          <t>1 (Registro OTP)</t>
        </is>
      </c>
      <c r="D74" s="15" t="inlineStr">
        <is>
          <t>6 (id_otp, id_usuario, codigo_otp, intentos_fallidos, bloqueado_hasta, expiracion)</t>
        </is>
      </c>
      <c r="E74" s="15" t="inlineStr">
        <is>
          <t>Bajo</t>
        </is>
      </c>
      <c r="F74" s="13" t="n">
        <v>7</v>
      </c>
    </row>
    <row r="75" ht="21" customHeight="1">
      <c r="A75" s="29" t="inlineStr">
        <is>
          <t>Subtotal ILF (verificaciones_otp):</t>
        </is>
      </c>
      <c r="B75" s="30" t="n"/>
      <c r="C75" s="30" t="n"/>
      <c r="D75" s="30" t="n"/>
      <c r="E75" s="30" t="n"/>
      <c r="F75" s="31">
        <f>SUM(F74:F74)</f>
        <v/>
      </c>
    </row>
    <row r="76" ht="22" customHeight="1">
      <c r="A76" s="25" t="inlineStr">
        <is>
          <t>Tabla 5. Archivos Externos (EIF) - Tabla: verificaciones_otp</t>
        </is>
      </c>
    </row>
    <row r="77" ht="22" customHeight="1">
      <c r="A77" s="11" t="inlineStr">
        <is>
          <t>Num.</t>
        </is>
      </c>
      <c r="B77" s="11" t="inlineStr">
        <is>
          <t>Archivo / Interfaz Externa</t>
        </is>
      </c>
      <c r="C77" s="11" t="inlineStr">
        <is>
          <t>Elementos de registro (RET)</t>
        </is>
      </c>
      <c r="D77" s="11" t="inlineStr">
        <is>
          <t>Elementos de datos (DET)</t>
        </is>
      </c>
      <c r="E77" s="11" t="inlineStr">
        <is>
          <t>Nivel</t>
        </is>
      </c>
      <c r="F77" s="11" t="inlineStr">
        <is>
          <t>Valor</t>
        </is>
      </c>
    </row>
    <row r="78" ht="20" customHeight="1">
      <c r="A78" s="15" t="n">
        <v>1</v>
      </c>
      <c r="B78" s="14" t="inlineStr">
        <is>
          <t>API Externa de Mensajeria Instantanea OTP (WhatsApp Cloud API / Meta Graph)</t>
        </is>
      </c>
      <c r="C78" s="15" t="inlineStr">
        <is>
          <t>1 (Mensaje OTP)</t>
        </is>
      </c>
      <c r="D78" s="15" t="inlineStr">
        <is>
          <t>5 (message_id, recipient, status, delivery_ts, cost)</t>
        </is>
      </c>
      <c r="E78" s="15" t="inlineStr">
        <is>
          <t>Bajo</t>
        </is>
      </c>
      <c r="F78" s="13" t="n">
        <v>5</v>
      </c>
    </row>
    <row r="79" ht="21" customHeight="1">
      <c r="A79" s="29" t="inlineStr">
        <is>
          <t>Subtotal EIF (verificaciones_otp):</t>
        </is>
      </c>
      <c r="B79" s="30" t="n"/>
      <c r="C79" s="30" t="n"/>
      <c r="D79" s="30" t="n"/>
      <c r="E79" s="30" t="n"/>
      <c r="F79" s="31">
        <f>SUM(F78:F78)</f>
        <v/>
      </c>
    </row>
    <row r="80" ht="24" customHeight="1">
      <c r="A80" s="18" t="inlineStr">
        <is>
          <t>TOTAL PUNTOS DE FUNCION TABLA 3: VERIFICACIONES_OTP:</t>
        </is>
      </c>
      <c r="B80" s="19" t="n"/>
      <c r="C80" s="19" t="n"/>
      <c r="D80" s="19" t="n"/>
      <c r="E80" s="19" t="n"/>
      <c r="F80" s="20">
        <f>F63+F67+F71+F75+F79</f>
        <v/>
      </c>
    </row>
    <row r="82" ht="28" customHeight="1">
      <c r="A82" s="24" t="inlineStr">
        <is>
          <t>TABLA 4: CATEGORIAS (FAMILIAS Y SEGMENTOS COMERCIALES)</t>
        </is>
      </c>
    </row>
    <row r="83" ht="22" customHeight="1">
      <c r="A83" s="25" t="inlineStr">
        <is>
          <t>Tabla 1. Entradas (EI) - Tabla: categorias</t>
        </is>
      </c>
    </row>
    <row r="84" ht="22" customHeight="1">
      <c r="A84" s="11" t="inlineStr">
        <is>
          <t>Num.</t>
        </is>
      </c>
      <c r="B84" s="11" t="inlineStr">
        <is>
          <t>Entrada / Transaccion</t>
        </is>
      </c>
      <c r="C84" s="11" t="inlineStr">
        <is>
          <t>Archivos referidos (FTR)</t>
        </is>
      </c>
      <c r="D84" s="11" t="inlineStr">
        <is>
          <t>Elementos de datos (DET)</t>
        </is>
      </c>
      <c r="E84" s="11" t="inlineStr">
        <is>
          <t>Nivel</t>
        </is>
      </c>
      <c r="F84" s="11" t="inlineStr">
        <is>
          <t>Valor</t>
        </is>
      </c>
    </row>
    <row r="85" ht="20" customHeight="1">
      <c r="A85" s="15" t="n">
        <v>1</v>
      </c>
      <c r="B85" s="14" t="inlineStr">
        <is>
          <t>Registrar Nueva Categoria Comercial (Alta)</t>
        </is>
      </c>
      <c r="C85" s="15" t="inlineStr">
        <is>
          <t>1 (categorias)</t>
        </is>
      </c>
      <c r="D85" s="15" t="inlineStr">
        <is>
          <t>4 (id_categoria, nombre, descripcion, estado)</t>
        </is>
      </c>
      <c r="E85" s="15" t="inlineStr">
        <is>
          <t>Bajo</t>
        </is>
      </c>
      <c r="F85" s="13" t="n">
        <v>3</v>
      </c>
    </row>
    <row r="86" ht="20" customHeight="1">
      <c r="A86" s="26" t="n">
        <v>2</v>
      </c>
      <c r="B86" s="27" t="inlineStr">
        <is>
          <t>Actualizar Datos y Estado de Categoria (Modificacion)</t>
        </is>
      </c>
      <c r="C86" s="26" t="inlineStr">
        <is>
          <t>1 (categorias)</t>
        </is>
      </c>
      <c r="D86" s="26" t="inlineStr">
        <is>
          <t>4 (nombre, descripcion, estado, icono)</t>
        </is>
      </c>
      <c r="E86" s="26" t="inlineStr">
        <is>
          <t>Bajo</t>
        </is>
      </c>
      <c r="F86" s="28" t="n">
        <v>3</v>
      </c>
    </row>
    <row r="87" ht="20" customHeight="1">
      <c r="A87" s="15" t="n">
        <v>3</v>
      </c>
      <c r="B87" s="14" t="inlineStr">
        <is>
          <t>Desactivar Categoria sin Productos (Baja)</t>
        </is>
      </c>
      <c r="C87" s="15" t="inlineStr">
        <is>
          <t>2 (categorias, productos)</t>
        </is>
      </c>
      <c r="D87" s="15" t="inlineStr">
        <is>
          <t>2 (id_categoria, estado)</t>
        </is>
      </c>
      <c r="E87" s="15" t="inlineStr">
        <is>
          <t>Bajo</t>
        </is>
      </c>
      <c r="F87" s="13" t="n">
        <v>3</v>
      </c>
    </row>
    <row r="88" ht="21" customHeight="1">
      <c r="A88" s="29" t="inlineStr">
        <is>
          <t>Subtotal EI (categorias):</t>
        </is>
      </c>
      <c r="B88" s="30" t="n"/>
      <c r="C88" s="30" t="n"/>
      <c r="D88" s="30" t="n"/>
      <c r="E88" s="30" t="n"/>
      <c r="F88" s="31">
        <f>SUM(F85:F87)</f>
        <v/>
      </c>
    </row>
    <row r="89" ht="22" customHeight="1">
      <c r="A89" s="25" t="inlineStr">
        <is>
          <t>Tabla 2. Salidas (EO) - Tabla: categorias</t>
        </is>
      </c>
    </row>
    <row r="90" ht="22" customHeight="1">
      <c r="A90" s="11" t="inlineStr">
        <is>
          <t>Num.</t>
        </is>
      </c>
      <c r="B90" s="11" t="inlineStr">
        <is>
          <t>Salida (Reporte con Calculos)</t>
        </is>
      </c>
      <c r="C90" s="11" t="inlineStr">
        <is>
          <t>Archivos referidos (FTR)</t>
        </is>
      </c>
      <c r="D90" s="11" t="inlineStr">
        <is>
          <t>Elementos de datos (DET)</t>
        </is>
      </c>
      <c r="E90" s="11" t="inlineStr">
        <is>
          <t>Nivel</t>
        </is>
      </c>
      <c r="F90" s="11" t="inlineStr">
        <is>
          <t>Valor</t>
        </is>
      </c>
    </row>
    <row r="91" ht="20" customHeight="1">
      <c r="A91" s="15" t="n">
        <v>1</v>
      </c>
      <c r="B91" s="14" t="inlineStr">
        <is>
          <t>Analisis de Rendimiento y Volumen por Categoria (Calculo de facturacion agregada y rotacion)</t>
        </is>
      </c>
      <c r="C91" s="15" t="inlineStr">
        <is>
          <t>3 (categorias, productos, pedidos)</t>
        </is>
      </c>
      <c r="D91" s="15" t="inlineStr">
        <is>
          <t>7 (id_categoria, nombre, total_productos, ventas_pesos, rotacion_pct...)</t>
        </is>
      </c>
      <c r="E91" s="15" t="inlineStr">
        <is>
          <t>Medio</t>
        </is>
      </c>
      <c r="F91" s="13" t="n">
        <v>5</v>
      </c>
    </row>
    <row r="92" ht="21" customHeight="1">
      <c r="A92" s="29" t="inlineStr">
        <is>
          <t>Subtotal EO (categorias):</t>
        </is>
      </c>
      <c r="B92" s="30" t="n"/>
      <c r="C92" s="30" t="n"/>
      <c r="D92" s="30" t="n"/>
      <c r="E92" s="30" t="n"/>
      <c r="F92" s="31">
        <f>SUM(F91:F91)</f>
        <v/>
      </c>
    </row>
    <row r="93" ht="22" customHeight="1">
      <c r="A93" s="25" t="inlineStr">
        <is>
          <t>Tabla 3. Peticiones (EQ) - Tabla: categorias</t>
        </is>
      </c>
    </row>
    <row r="94" ht="22" customHeight="1">
      <c r="A94" s="11" t="inlineStr">
        <is>
          <t>Num.</t>
        </is>
      </c>
      <c r="B94" s="11" t="inlineStr">
        <is>
          <t>Peticion (Consulta Directa)</t>
        </is>
      </c>
      <c r="C94" s="11" t="inlineStr">
        <is>
          <t>Archivos referidos (FTR)</t>
        </is>
      </c>
      <c r="D94" s="11" t="inlineStr">
        <is>
          <t>Elementos de datos (DET)</t>
        </is>
      </c>
      <c r="E94" s="11" t="inlineStr">
        <is>
          <t>Nivel</t>
        </is>
      </c>
      <c r="F94" s="11" t="inlineStr">
        <is>
          <t>Valor</t>
        </is>
      </c>
    </row>
    <row r="95" ht="20" customHeight="1">
      <c r="A95" s="15" t="n">
        <v>1</v>
      </c>
      <c r="B95" s="14" t="inlineStr">
        <is>
          <t>Catalogo de Categorias Activas para el Menu de Navegacion</t>
        </is>
      </c>
      <c r="C95" s="15" t="inlineStr">
        <is>
          <t>1 (categorias)</t>
        </is>
      </c>
      <c r="D95" s="15" t="inlineStr">
        <is>
          <t>4 (id_categoria, nombre, descripcion, estado)</t>
        </is>
      </c>
      <c r="E95" s="15" t="inlineStr">
        <is>
          <t>Bajo</t>
        </is>
      </c>
      <c r="F95" s="13" t="n">
        <v>3</v>
      </c>
    </row>
    <row r="96" ht="20" customHeight="1">
      <c r="A96" s="26" t="n">
        <v>2</v>
      </c>
      <c r="B96" s="27" t="inlineStr">
        <is>
          <t>Consulta de Categoria por Identificador / Slug</t>
        </is>
      </c>
      <c r="C96" s="26" t="inlineStr">
        <is>
          <t>1 (categorias)</t>
        </is>
      </c>
      <c r="D96" s="26" t="inlineStr">
        <is>
          <t>3 (id_categoria, nombre, descripcion)</t>
        </is>
      </c>
      <c r="E96" s="26" t="inlineStr">
        <is>
          <t>Bajo</t>
        </is>
      </c>
      <c r="F96" s="28" t="n">
        <v>3</v>
      </c>
    </row>
    <row r="97" ht="21" customHeight="1">
      <c r="A97" s="29" t="inlineStr">
        <is>
          <t>Subtotal EQ (categorias):</t>
        </is>
      </c>
      <c r="B97" s="30" t="n"/>
      <c r="C97" s="30" t="n"/>
      <c r="D97" s="30" t="n"/>
      <c r="E97" s="30" t="n"/>
      <c r="F97" s="31">
        <f>SUM(F95:F96)</f>
        <v/>
      </c>
    </row>
    <row r="98" ht="22" customHeight="1">
      <c r="A98" s="25" t="inlineStr">
        <is>
          <t>Tabla 4. Archivos Internos (ILF) - Tabla: categorias</t>
        </is>
      </c>
    </row>
    <row r="99" ht="22" customHeight="1">
      <c r="A99" s="11" t="inlineStr">
        <is>
          <t>Num.</t>
        </is>
      </c>
      <c r="B99" s="11" t="inlineStr">
        <is>
          <t>Archivo / Tabla Interna</t>
        </is>
      </c>
      <c r="C99" s="11" t="inlineStr">
        <is>
          <t>Elementos de registro (RET)</t>
        </is>
      </c>
      <c r="D99" s="11" t="inlineStr">
        <is>
          <t>Elementos de datos (DET)</t>
        </is>
      </c>
      <c r="E99" s="11" t="inlineStr">
        <is>
          <t>Nivel</t>
        </is>
      </c>
      <c r="F99" s="11" t="inlineStr">
        <is>
          <t>Valor</t>
        </is>
      </c>
    </row>
    <row r="100" ht="20" customHeight="1">
      <c r="A100" s="15" t="n">
        <v>1</v>
      </c>
      <c r="B100" s="14" t="inlineStr">
        <is>
          <t>Tabla: categorias (Catalogo maestro de clasificacion comercial del catalogo)</t>
        </is>
      </c>
      <c r="C100" s="15" t="inlineStr">
        <is>
          <t>1 (Registro Categoria)</t>
        </is>
      </c>
      <c r="D100" s="15" t="inlineStr">
        <is>
          <t>5 (id_categoria, nombre, descripcion, estado, fecha_creacion)</t>
        </is>
      </c>
      <c r="E100" s="15" t="inlineStr">
        <is>
          <t>Bajo</t>
        </is>
      </c>
      <c r="F100" s="13" t="n">
        <v>7</v>
      </c>
    </row>
    <row r="101" ht="21" customHeight="1">
      <c r="A101" s="29" t="inlineStr">
        <is>
          <t>Subtotal ILF (categorias):</t>
        </is>
      </c>
      <c r="B101" s="30" t="n"/>
      <c r="C101" s="30" t="n"/>
      <c r="D101" s="30" t="n"/>
      <c r="E101" s="30" t="n"/>
      <c r="F101" s="31">
        <f>SUM(F100:F100)</f>
        <v/>
      </c>
    </row>
    <row r="102" ht="22" customHeight="1">
      <c r="A102" s="25" t="inlineStr">
        <is>
          <t>Tabla 5. Archivos Externos (EIF) - Tabla: categorias</t>
        </is>
      </c>
    </row>
    <row r="103" ht="22" customHeight="1">
      <c r="A103" s="11" t="inlineStr">
        <is>
          <t>Num.</t>
        </is>
      </c>
      <c r="B103" s="11" t="inlineStr">
        <is>
          <t>Archivo / Interfaz Externa</t>
        </is>
      </c>
      <c r="C103" s="11" t="inlineStr">
        <is>
          <t>Elementos de registro (RET)</t>
        </is>
      </c>
      <c r="D103" s="11" t="inlineStr">
        <is>
          <t>Elementos de datos (DET)</t>
        </is>
      </c>
      <c r="E103" s="11" t="inlineStr">
        <is>
          <t>Nivel</t>
        </is>
      </c>
      <c r="F103" s="11" t="inlineStr">
        <is>
          <t>Valor</t>
        </is>
      </c>
    </row>
    <row r="104" ht="20" customHeight="1">
      <c r="A104" s="15" t="n">
        <v>1</v>
      </c>
      <c r="B104" s="14" t="inlineStr">
        <is>
          <t>Clasificador Estandar de Productos y Servicios (Catalogo SAT / UNSPSC)</t>
        </is>
      </c>
      <c r="C104" s="15" t="inlineStr">
        <is>
          <t>1 (Clave SAT)</t>
        </is>
      </c>
      <c r="D104" s="15" t="inlineStr">
        <is>
          <t>4 (clave_prod_serv, descripcion_sat, categoria_eq, iva_aplica)</t>
        </is>
      </c>
      <c r="E104" s="15" t="inlineStr">
        <is>
          <t>Bajo</t>
        </is>
      </c>
      <c r="F104" s="13" t="n">
        <v>5</v>
      </c>
    </row>
    <row r="105" ht="21" customHeight="1">
      <c r="A105" s="29" t="inlineStr">
        <is>
          <t>Subtotal EIF (categorias):</t>
        </is>
      </c>
      <c r="B105" s="30" t="n"/>
      <c r="C105" s="30" t="n"/>
      <c r="D105" s="30" t="n"/>
      <c r="E105" s="30" t="n"/>
      <c r="F105" s="31">
        <f>SUM(F104:F104)</f>
        <v/>
      </c>
    </row>
    <row r="106" ht="24" customHeight="1">
      <c r="A106" s="18" t="inlineStr">
        <is>
          <t>TOTAL PUNTOS DE FUNCION TABLA 4: CATEGORIAS:</t>
        </is>
      </c>
      <c r="B106" s="19" t="n"/>
      <c r="C106" s="19" t="n"/>
      <c r="D106" s="19" t="n"/>
      <c r="E106" s="19" t="n"/>
      <c r="F106" s="20">
        <f>F88+F92+F97+F101+F105</f>
        <v/>
      </c>
    </row>
    <row r="108" ht="28" customHeight="1">
      <c r="A108" s="24" t="inlineStr">
        <is>
          <t>TABLA 5: PRODUCTOS (CATALOGO COMERCIAL, INVENTARIOS Y PRECIOS)</t>
        </is>
      </c>
    </row>
    <row r="109" ht="22" customHeight="1">
      <c r="A109" s="25" t="inlineStr">
        <is>
          <t>Tabla 1. Entradas (EI) - Tabla: productos</t>
        </is>
      </c>
    </row>
    <row r="110" ht="22" customHeight="1">
      <c r="A110" s="11" t="inlineStr">
        <is>
          <t>Num.</t>
        </is>
      </c>
      <c r="B110" s="11" t="inlineStr">
        <is>
          <t>Entrada / Transaccion</t>
        </is>
      </c>
      <c r="C110" s="11" t="inlineStr">
        <is>
          <t>Archivos referidos (FTR)</t>
        </is>
      </c>
      <c r="D110" s="11" t="inlineStr">
        <is>
          <t>Elementos de datos (DET)</t>
        </is>
      </c>
      <c r="E110" s="11" t="inlineStr">
        <is>
          <t>Nivel</t>
        </is>
      </c>
      <c r="F110" s="11" t="inlineStr">
        <is>
          <t>Valor</t>
        </is>
      </c>
    </row>
    <row r="111" ht="20" customHeight="1">
      <c r="A111" s="15" t="n">
        <v>1</v>
      </c>
      <c r="B111" s="14" t="inlineStr">
        <is>
          <t>Publicar Nuevo Producto en Catalogo (Alta)</t>
        </is>
      </c>
      <c r="C111" s="15" t="inlineStr">
        <is>
          <t>2 (productos, categorias)</t>
        </is>
      </c>
      <c r="D111" s="15" t="inlineStr">
        <is>
          <t>9 (id_vendedor, id_categoria, titulo, desc, precio, costo, stock, estado...)</t>
        </is>
      </c>
      <c r="E111" s="15" t="inlineStr">
        <is>
          <t>Medio</t>
        </is>
      </c>
      <c r="F111" s="13" t="n">
        <v>4</v>
      </c>
    </row>
    <row r="112" ht="20" customHeight="1">
      <c r="A112" s="26" t="n">
        <v>2</v>
      </c>
      <c r="B112" s="27" t="inlineStr">
        <is>
          <t>Actualizar Precios, Costos y Stock (Modificacion)</t>
        </is>
      </c>
      <c r="C112" s="26" t="inlineStr">
        <is>
          <t>2 (productos, categorias)</t>
        </is>
      </c>
      <c r="D112" s="26" t="inlineStr">
        <is>
          <t>8 (titulo, desc, precio, costo_unitario, stock, estado...)</t>
        </is>
      </c>
      <c r="E112" s="26" t="inlineStr">
        <is>
          <t>Medio</t>
        </is>
      </c>
      <c r="F112" s="28" t="n">
        <v>4</v>
      </c>
    </row>
    <row r="113" ht="20" customHeight="1">
      <c r="A113" s="15" t="n">
        <v>3</v>
      </c>
      <c r="B113" s="14" t="inlineStr">
        <is>
          <t>Suspender / Dar de Baja Publicacion de Producto</t>
        </is>
      </c>
      <c r="C113" s="15" t="inlineStr">
        <is>
          <t>2 (productos, control_suspensiones)</t>
        </is>
      </c>
      <c r="D113" s="15" t="inlineStr">
        <is>
          <t>2 (id_producto, estado_publicacion)</t>
        </is>
      </c>
      <c r="E113" s="15" t="inlineStr">
        <is>
          <t>Bajo</t>
        </is>
      </c>
      <c r="F113" s="13" t="n">
        <v>3</v>
      </c>
    </row>
    <row r="114" ht="21" customHeight="1">
      <c r="A114" s="29" t="inlineStr">
        <is>
          <t>Subtotal EI (productos):</t>
        </is>
      </c>
      <c r="B114" s="30" t="n"/>
      <c r="C114" s="30" t="n"/>
      <c r="D114" s="30" t="n"/>
      <c r="E114" s="30" t="n"/>
      <c r="F114" s="31">
        <f>SUM(F111:F113)</f>
        <v/>
      </c>
    </row>
    <row r="115" ht="22" customHeight="1">
      <c r="A115" s="25" t="inlineStr">
        <is>
          <t>Tabla 2. Salidas (EO) - Tabla: productos</t>
        </is>
      </c>
    </row>
    <row r="116" ht="22" customHeight="1">
      <c r="A116" s="11" t="inlineStr">
        <is>
          <t>Num.</t>
        </is>
      </c>
      <c r="B116" s="11" t="inlineStr">
        <is>
          <t>Salida (Reporte con Calculos)</t>
        </is>
      </c>
      <c r="C116" s="11" t="inlineStr">
        <is>
          <t>Archivos referidos (FTR)</t>
        </is>
      </c>
      <c r="D116" s="11" t="inlineStr">
        <is>
          <t>Elementos de datos (DET)</t>
        </is>
      </c>
      <c r="E116" s="11" t="inlineStr">
        <is>
          <t>Nivel</t>
        </is>
      </c>
      <c r="F116" s="11" t="inlineStr">
        <is>
          <t>Valor</t>
        </is>
      </c>
    </row>
    <row r="117" ht="20" customHeight="1">
      <c r="A117" s="15" t="n">
        <v>1</v>
      </c>
      <c r="B117" s="14" t="inlineStr">
        <is>
          <t>Reporte de Margen de Ganancia y Rentabilidad (Calculo de margen bruto [(precio-costo)/precio]*100 y utilidad)</t>
        </is>
      </c>
      <c r="C117" s="15" t="inlineStr">
        <is>
          <t>2 (productos, categorias)</t>
        </is>
      </c>
      <c r="D117" s="15" t="inlineStr">
        <is>
          <t>8 (id_producto, titulo, precio, costo_unitario, utilidad, margen_pct, valor_stock...)</t>
        </is>
      </c>
      <c r="E117" s="15" t="inlineStr">
        <is>
          <t>Medio</t>
        </is>
      </c>
      <c r="F117" s="13" t="n">
        <v>5</v>
      </c>
    </row>
    <row r="118" ht="20" customHeight="1">
      <c r="A118" s="26" t="n">
        <v>2</v>
      </c>
      <c r="B118" s="27" t="inlineStr">
        <is>
          <t>Balance de Stock Critico y Costo de Reorden (Calculo de reposicion y dias de inventario)</t>
        </is>
      </c>
      <c r="C118" s="26" t="inlineStr">
        <is>
          <t>2 (productos, detalle_pedidos)</t>
        </is>
      </c>
      <c r="D118" s="26" t="inlineStr">
        <is>
          <t>7 (id_producto, titulo, stock_actual, consumo_diario, dias_cobertura, costo_reorden...)</t>
        </is>
      </c>
      <c r="E118" s="26" t="inlineStr">
        <is>
          <t>Medio</t>
        </is>
      </c>
      <c r="F118" s="28" t="n">
        <v>5</v>
      </c>
    </row>
    <row r="119" ht="21" customHeight="1">
      <c r="A119" s="29" t="inlineStr">
        <is>
          <t>Subtotal EO (productos):</t>
        </is>
      </c>
      <c r="B119" s="30" t="n"/>
      <c r="C119" s="30" t="n"/>
      <c r="D119" s="30" t="n"/>
      <c r="E119" s="30" t="n"/>
      <c r="F119" s="31">
        <f>SUM(F117:F118)</f>
        <v/>
      </c>
    </row>
    <row r="120" ht="22" customHeight="1">
      <c r="A120" s="25" t="inlineStr">
        <is>
          <t>Tabla 3. Peticiones (EQ) - Tabla: productos</t>
        </is>
      </c>
    </row>
    <row r="121" ht="22" customHeight="1">
      <c r="A121" s="11" t="inlineStr">
        <is>
          <t>Num.</t>
        </is>
      </c>
      <c r="B121" s="11" t="inlineStr">
        <is>
          <t>Peticion (Consulta Directa)</t>
        </is>
      </c>
      <c r="C121" s="11" t="inlineStr">
        <is>
          <t>Archivos referidos (FTR)</t>
        </is>
      </c>
      <c r="D121" s="11" t="inlineStr">
        <is>
          <t>Elementos de datos (DET)</t>
        </is>
      </c>
      <c r="E121" s="11" t="inlineStr">
        <is>
          <t>Nivel</t>
        </is>
      </c>
      <c r="F121" s="11" t="inlineStr">
        <is>
          <t>Valor</t>
        </is>
      </c>
    </row>
    <row r="122" ht="20" customHeight="1">
      <c r="A122" s="15" t="n">
        <v>1</v>
      </c>
      <c r="B122" s="14" t="inlineStr">
        <is>
          <t>Busqueda de Productos con Filtros Dinamicos (texto, categoria, precio)</t>
        </is>
      </c>
      <c r="C122" s="15" t="inlineStr">
        <is>
          <t>2 (productos, categorias)</t>
        </is>
      </c>
      <c r="D122" s="15" t="inlineStr">
        <is>
          <t>7 (id_producto, titulo, descripcion, precio, stock, categoria, vendedor)</t>
        </is>
      </c>
      <c r="E122" s="15" t="inlineStr">
        <is>
          <t>Medio</t>
        </is>
      </c>
      <c r="F122" s="13" t="n">
        <v>4</v>
      </c>
    </row>
    <row r="123" ht="20" customHeight="1">
      <c r="A123" s="26" t="n">
        <v>2</v>
      </c>
      <c r="B123" s="27" t="inlineStr">
        <is>
          <t>Ficha Tecnica Detallada de Producto</t>
        </is>
      </c>
      <c r="C123" s="26" t="inlineStr">
        <is>
          <t>2 (productos, usuarios)</t>
        </is>
      </c>
      <c r="D123" s="26" t="inlineStr">
        <is>
          <t>8 (id_producto, titulo, descripcion, precio, stock, estado, vendedor, fecha)</t>
        </is>
      </c>
      <c r="E123" s="26" t="inlineStr">
        <is>
          <t>Medio</t>
        </is>
      </c>
      <c r="F123" s="28" t="n">
        <v>4</v>
      </c>
    </row>
    <row r="124" ht="21" customHeight="1">
      <c r="A124" s="29" t="inlineStr">
        <is>
          <t>Subtotal EQ (productos):</t>
        </is>
      </c>
      <c r="B124" s="30" t="n"/>
      <c r="C124" s="30" t="n"/>
      <c r="D124" s="30" t="n"/>
      <c r="E124" s="30" t="n"/>
      <c r="F124" s="31">
        <f>SUM(F122:F123)</f>
        <v/>
      </c>
    </row>
    <row r="125" ht="22" customHeight="1">
      <c r="A125" s="25" t="inlineStr">
        <is>
          <t>Tabla 4. Archivos Internos (ILF) - Tabla: productos</t>
        </is>
      </c>
    </row>
    <row r="126" ht="22" customHeight="1">
      <c r="A126" s="11" t="inlineStr">
        <is>
          <t>Num.</t>
        </is>
      </c>
      <c r="B126" s="11" t="inlineStr">
        <is>
          <t>Archivo / Tabla Interna</t>
        </is>
      </c>
      <c r="C126" s="11" t="inlineStr">
        <is>
          <t>Elementos de registro (RET)</t>
        </is>
      </c>
      <c r="D126" s="11" t="inlineStr">
        <is>
          <t>Elementos de datos (DET)</t>
        </is>
      </c>
      <c r="E126" s="11" t="inlineStr">
        <is>
          <t>Nivel</t>
        </is>
      </c>
      <c r="F126" s="11" t="inlineStr">
        <is>
          <t>Valor</t>
        </is>
      </c>
    </row>
    <row r="127" ht="20" customHeight="1">
      <c r="A127" s="15" t="n">
        <v>1</v>
      </c>
      <c r="B127" s="14" t="inlineStr">
        <is>
          <t>Tabla: productos (Almacen maestro de publicaciones, inventarios y tarifas comerciales)</t>
        </is>
      </c>
      <c r="C127" s="15" t="inlineStr">
        <is>
          <t>1 (Registro Producto)</t>
        </is>
      </c>
      <c r="D127" s="15" t="inlineStr">
        <is>
          <t>10 (id_producto, id_vendedor, id_categoria, titulo, desc, precio, costo, stock, estado, fecha)</t>
        </is>
      </c>
      <c r="E127" s="15" t="inlineStr">
        <is>
          <t>Bajo</t>
        </is>
      </c>
      <c r="F127" s="13" t="n">
        <v>7</v>
      </c>
    </row>
    <row r="128" ht="21" customHeight="1">
      <c r="A128" s="29" t="inlineStr">
        <is>
          <t>Subtotal ILF (productos):</t>
        </is>
      </c>
      <c r="B128" s="30" t="n"/>
      <c r="C128" s="30" t="n"/>
      <c r="D128" s="30" t="n"/>
      <c r="E128" s="30" t="n"/>
      <c r="F128" s="31">
        <f>SUM(F127:F127)</f>
        <v/>
      </c>
    </row>
    <row r="129" ht="22" customHeight="1">
      <c r="A129" s="25" t="inlineStr">
        <is>
          <t>Tabla 5. Archivos Externos (EIF) - Tabla: productos</t>
        </is>
      </c>
    </row>
    <row r="130" ht="22" customHeight="1">
      <c r="A130" s="11" t="inlineStr">
        <is>
          <t>Num.</t>
        </is>
      </c>
      <c r="B130" s="11" t="inlineStr">
        <is>
          <t>Archivo / Interfaz Externa</t>
        </is>
      </c>
      <c r="C130" s="11" t="inlineStr">
        <is>
          <t>Elementos de registro (RET)</t>
        </is>
      </c>
      <c r="D130" s="11" t="inlineStr">
        <is>
          <t>Elementos de datos (DET)</t>
        </is>
      </c>
      <c r="E130" s="11" t="inlineStr">
        <is>
          <t>Nivel</t>
        </is>
      </c>
      <c r="F130" s="11" t="inlineStr">
        <is>
          <t>Valor</t>
        </is>
      </c>
    </row>
    <row r="131" ht="20" customHeight="1">
      <c r="A131" s="15" t="n">
        <v>1</v>
      </c>
      <c r="B131" s="14" t="inlineStr">
        <is>
          <t>Servicio de Almacenamiento en la Nube CDN (Cloudinary / AWS S3 API)</t>
        </is>
      </c>
      <c r="C131" s="15" t="inlineStr">
        <is>
          <t>1 (Activo CDN)</t>
        </is>
      </c>
      <c r="D131" s="15" t="inlineStr">
        <is>
          <t>5 (asset_id, secure_url, bytes_size, format, created_at)</t>
        </is>
      </c>
      <c r="E131" s="15" t="inlineStr">
        <is>
          <t>Bajo</t>
        </is>
      </c>
      <c r="F131" s="13" t="n">
        <v>5</v>
      </c>
    </row>
    <row r="132" ht="21" customHeight="1">
      <c r="A132" s="29" t="inlineStr">
        <is>
          <t>Subtotal EIF (productos):</t>
        </is>
      </c>
      <c r="B132" s="30" t="n"/>
      <c r="C132" s="30" t="n"/>
      <c r="D132" s="30" t="n"/>
      <c r="E132" s="30" t="n"/>
      <c r="F132" s="31">
        <f>SUM(F131:F131)</f>
        <v/>
      </c>
    </row>
    <row r="133" ht="24" customHeight="1">
      <c r="A133" s="18" t="inlineStr">
        <is>
          <t>TOTAL PUNTOS DE FUNCION TABLA 5: PRODUCTOS:</t>
        </is>
      </c>
      <c r="B133" s="19" t="n"/>
      <c r="C133" s="19" t="n"/>
      <c r="D133" s="19" t="n"/>
      <c r="E133" s="19" t="n"/>
      <c r="F133" s="20">
        <f>F114+F119+F124+F128+F132</f>
        <v/>
      </c>
    </row>
    <row r="135" ht="28" customHeight="1">
      <c r="A135" s="24" t="inlineStr">
        <is>
          <t>TABLA 6: IMAGENES_PRODUCTO (GALERIA MULTIMEDIA Y ACTIVOS VISUALES)</t>
        </is>
      </c>
    </row>
    <row r="136" ht="22" customHeight="1">
      <c r="A136" s="25" t="inlineStr">
        <is>
          <t>Tabla 1. Entradas (EI) - Tabla: imagenes_producto</t>
        </is>
      </c>
    </row>
    <row r="137" ht="22" customHeight="1">
      <c r="A137" s="11" t="inlineStr">
        <is>
          <t>Num.</t>
        </is>
      </c>
      <c r="B137" s="11" t="inlineStr">
        <is>
          <t>Entrada / Transaccion</t>
        </is>
      </c>
      <c r="C137" s="11" t="inlineStr">
        <is>
          <t>Archivos referidos (FTR)</t>
        </is>
      </c>
      <c r="D137" s="11" t="inlineStr">
        <is>
          <t>Elementos de datos (DET)</t>
        </is>
      </c>
      <c r="E137" s="11" t="inlineStr">
        <is>
          <t>Nivel</t>
        </is>
      </c>
      <c r="F137" s="11" t="inlineStr">
        <is>
          <t>Valor</t>
        </is>
      </c>
    </row>
    <row r="138" ht="20" customHeight="1">
      <c r="A138" s="15" t="n">
        <v>1</v>
      </c>
      <c r="B138" s="14" t="inlineStr">
        <is>
          <t>Subir Imagen de Producto a Galeria (Alta)</t>
        </is>
      </c>
      <c r="C138" s="15" t="inlineStr">
        <is>
          <t>2 (imagenes_producto, productos)</t>
        </is>
      </c>
      <c r="D138" s="15" t="inlineStr">
        <is>
          <t>4 (id_producto, url_imagen, orden, fecha)</t>
        </is>
      </c>
      <c r="E138" s="15" t="inlineStr">
        <is>
          <t>Bajo</t>
        </is>
      </c>
      <c r="F138" s="13" t="n">
        <v>3</v>
      </c>
    </row>
    <row r="139" ht="20" customHeight="1">
      <c r="A139" s="26" t="n">
        <v>2</v>
      </c>
      <c r="B139" s="27" t="inlineStr">
        <is>
          <t>Reordenar Galeria y Cambiar Imagen Principal (Modificacion)</t>
        </is>
      </c>
      <c r="C139" s="26" t="inlineStr">
        <is>
          <t>1 (imagenes_producto)</t>
        </is>
      </c>
      <c r="D139" s="26" t="inlineStr">
        <is>
          <t>3 (id_imagen, orden, es_portada)</t>
        </is>
      </c>
      <c r="E139" s="26" t="inlineStr">
        <is>
          <t>Bajo</t>
        </is>
      </c>
      <c r="F139" s="28" t="n">
        <v>3</v>
      </c>
    </row>
    <row r="140" ht="20" customHeight="1">
      <c r="A140" s="15" t="n">
        <v>3</v>
      </c>
      <c r="B140" s="14" t="inlineStr">
        <is>
          <t>Eliminar Imagen de Galeria (Baja)</t>
        </is>
      </c>
      <c r="C140" s="15" t="inlineStr">
        <is>
          <t>1 (imagenes_producto)</t>
        </is>
      </c>
      <c r="D140" s="15" t="inlineStr">
        <is>
          <t>2 (id_imagen, url_imagen)</t>
        </is>
      </c>
      <c r="E140" s="15" t="inlineStr">
        <is>
          <t>Bajo</t>
        </is>
      </c>
      <c r="F140" s="13" t="n">
        <v>3</v>
      </c>
    </row>
    <row r="141" ht="21" customHeight="1">
      <c r="A141" s="29" t="inlineStr">
        <is>
          <t>Subtotal EI (imagenes_producto):</t>
        </is>
      </c>
      <c r="B141" s="30" t="n"/>
      <c r="C141" s="30" t="n"/>
      <c r="D141" s="30" t="n"/>
      <c r="E141" s="30" t="n"/>
      <c r="F141" s="31">
        <f>SUM(F138:F140)</f>
        <v/>
      </c>
    </row>
    <row r="142" ht="22" customHeight="1">
      <c r="A142" s="25" t="inlineStr">
        <is>
          <t>Tabla 2. Salidas (EO) - Tabla: imagenes_producto</t>
        </is>
      </c>
    </row>
    <row r="143" ht="22" customHeight="1">
      <c r="A143" s="11" t="inlineStr">
        <is>
          <t>Num.</t>
        </is>
      </c>
      <c r="B143" s="11" t="inlineStr">
        <is>
          <t>Salida (Reporte con Calculos)</t>
        </is>
      </c>
      <c r="C143" s="11" t="inlineStr">
        <is>
          <t>Archivos referidos (FTR)</t>
        </is>
      </c>
      <c r="D143" s="11" t="inlineStr">
        <is>
          <t>Elementos de datos (DET)</t>
        </is>
      </c>
      <c r="E143" s="11" t="inlineStr">
        <is>
          <t>Nivel</t>
        </is>
      </c>
      <c r="F143" s="11" t="inlineStr">
        <is>
          <t>Valor</t>
        </is>
      </c>
    </row>
    <row r="144" ht="20" customHeight="1">
      <c r="A144" s="15" t="n">
        <v>1</v>
      </c>
      <c r="B144" s="14" t="inlineStr">
        <is>
          <t>Auditoria y Balance de Optimizacion de Medios (Calculo de megabytes totales y tasa de compresion WebP)</t>
        </is>
      </c>
      <c r="C144" s="15" t="inlineStr">
        <is>
          <t>2 (imagenes_producto, productos)</t>
        </is>
      </c>
      <c r="D144" s="15" t="inlineStr">
        <is>
          <t>6 (total_imagenes, tamano_original_mb, tamano_comprimido, ahorro_pct, costo_cdn...)</t>
        </is>
      </c>
      <c r="E144" s="15" t="inlineStr">
        <is>
          <t>Medio</t>
        </is>
      </c>
      <c r="F144" s="13" t="n">
        <v>5</v>
      </c>
    </row>
    <row r="145" ht="21" customHeight="1">
      <c r="A145" s="29" t="inlineStr">
        <is>
          <t>Subtotal EO (imagenes_producto):</t>
        </is>
      </c>
      <c r="B145" s="30" t="n"/>
      <c r="C145" s="30" t="n"/>
      <c r="D145" s="30" t="n"/>
      <c r="E145" s="30" t="n"/>
      <c r="F145" s="31">
        <f>SUM(F144:F144)</f>
        <v/>
      </c>
    </row>
    <row r="146" ht="22" customHeight="1">
      <c r="A146" s="25" t="inlineStr">
        <is>
          <t>Tabla 3. Peticiones (EQ) - Tabla: imagenes_producto</t>
        </is>
      </c>
    </row>
    <row r="147" ht="22" customHeight="1">
      <c r="A147" s="11" t="inlineStr">
        <is>
          <t>Num.</t>
        </is>
      </c>
      <c r="B147" s="11" t="inlineStr">
        <is>
          <t>Peticion (Consulta Directa)</t>
        </is>
      </c>
      <c r="C147" s="11" t="inlineStr">
        <is>
          <t>Archivos referidos (FTR)</t>
        </is>
      </c>
      <c r="D147" s="11" t="inlineStr">
        <is>
          <t>Elementos de datos (DET)</t>
        </is>
      </c>
      <c r="E147" s="11" t="inlineStr">
        <is>
          <t>Nivel</t>
        </is>
      </c>
      <c r="F147" s="11" t="inlineStr">
        <is>
          <t>Valor</t>
        </is>
      </c>
    </row>
    <row r="148" ht="20" customHeight="1">
      <c r="A148" s="15" t="n">
        <v>1</v>
      </c>
      <c r="B148" s="14" t="inlineStr">
        <is>
          <t>Consulta de Galeria de Fotos de un Producto</t>
        </is>
      </c>
      <c r="C148" s="15" t="inlineStr">
        <is>
          <t>1 (imagenes_producto)</t>
        </is>
      </c>
      <c r="D148" s="15" t="inlineStr">
        <is>
          <t>4 (id_imagen, id_producto, url_imagen, orden)</t>
        </is>
      </c>
      <c r="E148" s="15" t="inlineStr">
        <is>
          <t>Bajo</t>
        </is>
      </c>
      <c r="F148" s="13" t="n">
        <v>3</v>
      </c>
    </row>
    <row r="149" ht="21" customHeight="1">
      <c r="A149" s="29" t="inlineStr">
        <is>
          <t>Subtotal EQ (imagenes_producto):</t>
        </is>
      </c>
      <c r="B149" s="30" t="n"/>
      <c r="C149" s="30" t="n"/>
      <c r="D149" s="30" t="n"/>
      <c r="E149" s="30" t="n"/>
      <c r="F149" s="31">
        <f>SUM(F148:F148)</f>
        <v/>
      </c>
    </row>
    <row r="150" ht="22" customHeight="1">
      <c r="A150" s="25" t="inlineStr">
        <is>
          <t>Tabla 4. Archivos Internos (ILF) - Tabla: imagenes_producto</t>
        </is>
      </c>
    </row>
    <row r="151" ht="22" customHeight="1">
      <c r="A151" s="11" t="inlineStr">
        <is>
          <t>Num.</t>
        </is>
      </c>
      <c r="B151" s="11" t="inlineStr">
        <is>
          <t>Archivo / Tabla Interna</t>
        </is>
      </c>
      <c r="C151" s="11" t="inlineStr">
        <is>
          <t>Elementos de registro (RET)</t>
        </is>
      </c>
      <c r="D151" s="11" t="inlineStr">
        <is>
          <t>Elementos de datos (DET)</t>
        </is>
      </c>
      <c r="E151" s="11" t="inlineStr">
        <is>
          <t>Nivel</t>
        </is>
      </c>
      <c r="F151" s="11" t="inlineStr">
        <is>
          <t>Valor</t>
        </is>
      </c>
    </row>
    <row r="152" ht="20" customHeight="1">
      <c r="A152" s="15" t="n">
        <v>1</v>
      </c>
      <c r="B152" s="14" t="inlineStr">
        <is>
          <t>Tabla: imagenes_producto (Registro de referencias multimedia y display visual)</t>
        </is>
      </c>
      <c r="C152" s="15" t="inlineStr">
        <is>
          <t>1 (Registro Imagen)</t>
        </is>
      </c>
      <c r="D152" s="15" t="inlineStr">
        <is>
          <t>5 (id_imagen, id_producto, url_imagen, orden, fecha_subida)</t>
        </is>
      </c>
      <c r="E152" s="15" t="inlineStr">
        <is>
          <t>Bajo</t>
        </is>
      </c>
      <c r="F152" s="13" t="n">
        <v>7</v>
      </c>
    </row>
    <row r="153" ht="21" customHeight="1">
      <c r="A153" s="29" t="inlineStr">
        <is>
          <t>Subtotal ILF (imagenes_producto):</t>
        </is>
      </c>
      <c r="B153" s="30" t="n"/>
      <c r="C153" s="30" t="n"/>
      <c r="D153" s="30" t="n"/>
      <c r="E153" s="30" t="n"/>
      <c r="F153" s="31">
        <f>SUM(F152:F152)</f>
        <v/>
      </c>
    </row>
    <row r="154" ht="22" customHeight="1">
      <c r="A154" s="25" t="inlineStr">
        <is>
          <t>Tabla 5. Archivos Externos (EIF) - Tabla: imagenes_producto</t>
        </is>
      </c>
    </row>
    <row r="155" ht="22" customHeight="1">
      <c r="A155" s="11" t="inlineStr">
        <is>
          <t>Num.</t>
        </is>
      </c>
      <c r="B155" s="11" t="inlineStr">
        <is>
          <t>Archivo / Interfaz Externa</t>
        </is>
      </c>
      <c r="C155" s="11" t="inlineStr">
        <is>
          <t>Elementos de registro (RET)</t>
        </is>
      </c>
      <c r="D155" s="11" t="inlineStr">
        <is>
          <t>Elementos de datos (DET)</t>
        </is>
      </c>
      <c r="E155" s="11" t="inlineStr">
        <is>
          <t>Nivel</t>
        </is>
      </c>
      <c r="F155" s="11" t="inlineStr">
        <is>
          <t>Valor</t>
        </is>
      </c>
    </row>
    <row r="156" ht="20" customHeight="1">
      <c r="A156" s="15" t="n">
        <v>1</v>
      </c>
      <c r="B156" s="14" t="inlineStr">
        <is>
          <t>API Externa de Procesamiento y Compresion Dinamica (Imgix / Sharp CDN)</t>
        </is>
      </c>
      <c r="C156" s="15" t="inlineStr">
        <is>
          <t>1 (Transformacion)</t>
        </is>
      </c>
      <c r="D156" s="15" t="inlineStr">
        <is>
          <t>4 (image_url, transform_params, output_format, ratio)</t>
        </is>
      </c>
      <c r="E156" s="15" t="inlineStr">
        <is>
          <t>Bajo</t>
        </is>
      </c>
      <c r="F156" s="13" t="n">
        <v>5</v>
      </c>
    </row>
    <row r="157" ht="21" customHeight="1">
      <c r="A157" s="29" t="inlineStr">
        <is>
          <t>Subtotal EIF (imagenes_producto):</t>
        </is>
      </c>
      <c r="B157" s="30" t="n"/>
      <c r="C157" s="30" t="n"/>
      <c r="D157" s="30" t="n"/>
      <c r="E157" s="30" t="n"/>
      <c r="F157" s="31">
        <f>SUM(F156:F156)</f>
        <v/>
      </c>
    </row>
    <row r="158" ht="24" customHeight="1">
      <c r="A158" s="18" t="inlineStr">
        <is>
          <t>TOTAL PUNTOS DE FUNCION TABLA 6: IMAGENES_PRODUCTO:</t>
        </is>
      </c>
      <c r="B158" s="19" t="n"/>
      <c r="C158" s="19" t="n"/>
      <c r="D158" s="19" t="n"/>
      <c r="E158" s="19" t="n"/>
      <c r="F158" s="20">
        <f>F141+F145+F149+F153+F157</f>
        <v/>
      </c>
    </row>
    <row r="160" ht="28" customHeight="1">
      <c r="A160" s="24" t="inlineStr">
        <is>
          <t>TABLA 7: CARRITO (SESIONES DE COMPRA Y ESTADO DEL COMPRADOR)</t>
        </is>
      </c>
    </row>
    <row r="161" ht="22" customHeight="1">
      <c r="A161" s="25" t="inlineStr">
        <is>
          <t>Tabla 1. Entradas (EI) - Tabla: carrito</t>
        </is>
      </c>
    </row>
    <row r="162" ht="22" customHeight="1">
      <c r="A162" s="11" t="inlineStr">
        <is>
          <t>Num.</t>
        </is>
      </c>
      <c r="B162" s="11" t="inlineStr">
        <is>
          <t>Entrada / Transaccion</t>
        </is>
      </c>
      <c r="C162" s="11" t="inlineStr">
        <is>
          <t>Archivos referidos (FTR)</t>
        </is>
      </c>
      <c r="D162" s="11" t="inlineStr">
        <is>
          <t>Elementos de datos (DET)</t>
        </is>
      </c>
      <c r="E162" s="11" t="inlineStr">
        <is>
          <t>Nivel</t>
        </is>
      </c>
      <c r="F162" s="11" t="inlineStr">
        <is>
          <t>Valor</t>
        </is>
      </c>
    </row>
    <row r="163" ht="20" customHeight="1">
      <c r="A163" s="15" t="n">
        <v>1</v>
      </c>
      <c r="B163" s="14" t="inlineStr">
        <is>
          <t>Inicializar Carrito de Compras (Alta de Sesion)</t>
        </is>
      </c>
      <c r="C163" s="15" t="inlineStr">
        <is>
          <t>2 (carrito, usuarios)</t>
        </is>
      </c>
      <c r="D163" s="15" t="inlineStr">
        <is>
          <t>4 (id_usuario, sesion_token, fecha, activo)</t>
        </is>
      </c>
      <c r="E163" s="15" t="inlineStr">
        <is>
          <t>Bajo</t>
        </is>
      </c>
      <c r="F163" s="13" t="n">
        <v>3</v>
      </c>
    </row>
    <row r="164" ht="20" customHeight="1">
      <c r="A164" s="26" t="n">
        <v>2</v>
      </c>
      <c r="B164" s="27" t="inlineStr">
        <is>
          <t>Asociar Carrito Anonimo a Usuario Logueado (Modificacion)</t>
        </is>
      </c>
      <c r="C164" s="26" t="inlineStr">
        <is>
          <t>2 (carrito, usuarios)</t>
        </is>
      </c>
      <c r="D164" s="26" t="inlineStr">
        <is>
          <t>3 (id_usuario, sesion_token, fecha_actualizacion)</t>
        </is>
      </c>
      <c r="E164" s="26" t="inlineStr">
        <is>
          <t>Bajo</t>
        </is>
      </c>
      <c r="F164" s="28" t="n">
        <v>3</v>
      </c>
    </row>
    <row r="165" ht="20" customHeight="1">
      <c r="A165" s="15" t="n">
        <v>3</v>
      </c>
      <c r="B165" s="14" t="inlineStr">
        <is>
          <t>Vaciar / Descartar Carrito Activo (Baja)</t>
        </is>
      </c>
      <c r="C165" s="15" t="inlineStr">
        <is>
          <t>2 (carrito, detalle_carrito)</t>
        </is>
      </c>
      <c r="D165" s="15" t="inlineStr">
        <is>
          <t>2 (id_carrito, activo)</t>
        </is>
      </c>
      <c r="E165" s="15" t="inlineStr">
        <is>
          <t>Bajo</t>
        </is>
      </c>
      <c r="F165" s="13" t="n">
        <v>3</v>
      </c>
    </row>
    <row r="166" ht="21" customHeight="1">
      <c r="A166" s="29" t="inlineStr">
        <is>
          <t>Subtotal EI (carrito):</t>
        </is>
      </c>
      <c r="B166" s="30" t="n"/>
      <c r="C166" s="30" t="n"/>
      <c r="D166" s="30" t="n"/>
      <c r="E166" s="30" t="n"/>
      <c r="F166" s="31">
        <f>SUM(F163:F165)</f>
        <v/>
      </c>
    </row>
    <row r="167" ht="22" customHeight="1">
      <c r="A167" s="25" t="inlineStr">
        <is>
          <t>Tabla 2. Salidas (EO) - Tabla: carrito</t>
        </is>
      </c>
    </row>
    <row r="168" ht="22" customHeight="1">
      <c r="A168" s="11" t="inlineStr">
        <is>
          <t>Num.</t>
        </is>
      </c>
      <c r="B168" s="11" t="inlineStr">
        <is>
          <t>Salida (Reporte con Calculos)</t>
        </is>
      </c>
      <c r="C168" s="11" t="inlineStr">
        <is>
          <t>Archivos referidos (FTR)</t>
        </is>
      </c>
      <c r="D168" s="11" t="inlineStr">
        <is>
          <t>Elementos de datos (DET)</t>
        </is>
      </c>
      <c r="E168" s="11" t="inlineStr">
        <is>
          <t>Nivel</t>
        </is>
      </c>
      <c r="F168" s="11" t="inlineStr">
        <is>
          <t>Valor</t>
        </is>
      </c>
    </row>
    <row r="169" ht="20" customHeight="1">
      <c r="A169" s="15" t="n">
        <v>1</v>
      </c>
      <c r="B169" s="14" t="inlineStr">
        <is>
          <t>Calculo de Tasa de Abandono de Carritos (Calculo de ratio carritos creados vs cerrados y valor en riesgo)</t>
        </is>
      </c>
      <c r="C169" s="15" t="inlineStr">
        <is>
          <t>3 (carrito, detalle_carrito, productos)</t>
        </is>
      </c>
      <c r="D169" s="15" t="inlineStr">
        <is>
          <t>7 (carritos_creados, carritos_cerrados, tasa_abandono_pct, monto_medio, valor_riesgo...)</t>
        </is>
      </c>
      <c r="E169" s="15" t="inlineStr">
        <is>
          <t>Medio</t>
        </is>
      </c>
      <c r="F169" s="13" t="n">
        <v>5</v>
      </c>
    </row>
    <row r="170" ht="21" customHeight="1">
      <c r="A170" s="29" t="inlineStr">
        <is>
          <t>Subtotal EO (carrito):</t>
        </is>
      </c>
      <c r="B170" s="30" t="n"/>
      <c r="C170" s="30" t="n"/>
      <c r="D170" s="30" t="n"/>
      <c r="E170" s="30" t="n"/>
      <c r="F170" s="31">
        <f>SUM(F169:F169)</f>
        <v/>
      </c>
    </row>
    <row r="171" ht="22" customHeight="1">
      <c r="A171" s="25" t="inlineStr">
        <is>
          <t>Tabla 3. Peticiones (EQ) - Tabla: carrito</t>
        </is>
      </c>
    </row>
    <row r="172" ht="22" customHeight="1">
      <c r="A172" s="11" t="inlineStr">
        <is>
          <t>Num.</t>
        </is>
      </c>
      <c r="B172" s="11" t="inlineStr">
        <is>
          <t>Peticion (Consulta Directa)</t>
        </is>
      </c>
      <c r="C172" s="11" t="inlineStr">
        <is>
          <t>Archivos referidos (FTR)</t>
        </is>
      </c>
      <c r="D172" s="11" t="inlineStr">
        <is>
          <t>Elementos de datos (DET)</t>
        </is>
      </c>
      <c r="E172" s="11" t="inlineStr">
        <is>
          <t>Nivel</t>
        </is>
      </c>
      <c r="F172" s="11" t="inlineStr">
        <is>
          <t>Valor</t>
        </is>
      </c>
    </row>
    <row r="173" ht="20" customHeight="1">
      <c r="A173" s="15" t="n">
        <v>1</v>
      </c>
      <c r="B173" s="14" t="inlineStr">
        <is>
          <t>Consulta de Estado del Carrito por Token / ID de Usuario</t>
        </is>
      </c>
      <c r="C173" s="15" t="inlineStr">
        <is>
          <t>1 (carrito)</t>
        </is>
      </c>
      <c r="D173" s="15" t="inlineStr">
        <is>
          <t>4 (id_carrito, id_usuario, fecha_actualizacion, activo)</t>
        </is>
      </c>
      <c r="E173" s="15" t="inlineStr">
        <is>
          <t>Bajo</t>
        </is>
      </c>
      <c r="F173" s="13" t="n">
        <v>3</v>
      </c>
    </row>
    <row r="174" ht="21" customHeight="1">
      <c r="A174" s="29" t="inlineStr">
        <is>
          <t>Subtotal EQ (carrito):</t>
        </is>
      </c>
      <c r="B174" s="30" t="n"/>
      <c r="C174" s="30" t="n"/>
      <c r="D174" s="30" t="n"/>
      <c r="E174" s="30" t="n"/>
      <c r="F174" s="31">
        <f>SUM(F173:F173)</f>
        <v/>
      </c>
    </row>
    <row r="175" ht="22" customHeight="1">
      <c r="A175" s="25" t="inlineStr">
        <is>
          <t>Tabla 4. Archivos Internos (ILF) - Tabla: carrito</t>
        </is>
      </c>
    </row>
    <row r="176" ht="22" customHeight="1">
      <c r="A176" s="11" t="inlineStr">
        <is>
          <t>Num.</t>
        </is>
      </c>
      <c r="B176" s="11" t="inlineStr">
        <is>
          <t>Archivo / Tabla Interna</t>
        </is>
      </c>
      <c r="C176" s="11" t="inlineStr">
        <is>
          <t>Elementos de registro (RET)</t>
        </is>
      </c>
      <c r="D176" s="11" t="inlineStr">
        <is>
          <t>Elementos de datos (DET)</t>
        </is>
      </c>
      <c r="E176" s="11" t="inlineStr">
        <is>
          <t>Nivel</t>
        </is>
      </c>
      <c r="F176" s="11" t="inlineStr">
        <is>
          <t>Valor</t>
        </is>
      </c>
    </row>
    <row r="177" ht="20" customHeight="1">
      <c r="A177" s="15" t="n">
        <v>1</v>
      </c>
      <c r="B177" s="14" t="inlineStr">
        <is>
          <t>Tabla: carrito (Almacen de cabeceras de sesiones de compra activas e historicas)</t>
        </is>
      </c>
      <c r="C177" s="15" t="inlineStr">
        <is>
          <t>1 (Registro Carrito)</t>
        </is>
      </c>
      <c r="D177" s="15" t="inlineStr">
        <is>
          <t>6 (id_carrito, id_usuario, sesion_token, fecha_creacion, fecha_actualizacion, activo)</t>
        </is>
      </c>
      <c r="E177" s="15" t="inlineStr">
        <is>
          <t>Bajo</t>
        </is>
      </c>
      <c r="F177" s="13" t="n">
        <v>7</v>
      </c>
    </row>
    <row r="178" ht="21" customHeight="1">
      <c r="A178" s="29" t="inlineStr">
        <is>
          <t>Subtotal ILF (carrito):</t>
        </is>
      </c>
      <c r="B178" s="30" t="n"/>
      <c r="C178" s="30" t="n"/>
      <c r="D178" s="30" t="n"/>
      <c r="E178" s="30" t="n"/>
      <c r="F178" s="31">
        <f>SUM(F177:F177)</f>
        <v/>
      </c>
    </row>
    <row r="179" ht="22" customHeight="1">
      <c r="A179" s="25" t="inlineStr">
        <is>
          <t>Tabla 5. Archivos Externos (EIF) - Tabla: carrito</t>
        </is>
      </c>
    </row>
    <row r="180" ht="22" customHeight="1">
      <c r="A180" s="11" t="inlineStr">
        <is>
          <t>Num.</t>
        </is>
      </c>
      <c r="B180" s="11" t="inlineStr">
        <is>
          <t>Archivo / Interfaz Externa</t>
        </is>
      </c>
      <c r="C180" s="11" t="inlineStr">
        <is>
          <t>Elementos de registro (RET)</t>
        </is>
      </c>
      <c r="D180" s="11" t="inlineStr">
        <is>
          <t>Elementos de datos (DET)</t>
        </is>
      </c>
      <c r="E180" s="11" t="inlineStr">
        <is>
          <t>Nivel</t>
        </is>
      </c>
      <c r="F180" s="11" t="inlineStr">
        <is>
          <t>Valor</t>
        </is>
      </c>
    </row>
    <row r="181" ht="20" customHeight="1">
      <c r="A181" s="15" t="n">
        <v>1</v>
      </c>
      <c r="B181" s="14" t="inlineStr">
        <is>
          <t>Servicio de Analitica de Comercio Electronico (Google Analytics 4 / E-commerce Protocol)</t>
        </is>
      </c>
      <c r="C181" s="15" t="inlineStr">
        <is>
          <t>1 (Evento Analitico)</t>
        </is>
      </c>
      <c r="D181" s="15" t="inlineStr">
        <is>
          <t>5 (client_id, event_name, cart_value, items_count, timestamp)</t>
        </is>
      </c>
      <c r="E181" s="15" t="inlineStr">
        <is>
          <t>Bajo</t>
        </is>
      </c>
      <c r="F181" s="13" t="n">
        <v>5</v>
      </c>
    </row>
    <row r="182" ht="21" customHeight="1">
      <c r="A182" s="29" t="inlineStr">
        <is>
          <t>Subtotal EIF (carrito):</t>
        </is>
      </c>
      <c r="B182" s="30" t="n"/>
      <c r="C182" s="30" t="n"/>
      <c r="D182" s="30" t="n"/>
      <c r="E182" s="30" t="n"/>
      <c r="F182" s="31">
        <f>SUM(F181:F181)</f>
        <v/>
      </c>
    </row>
    <row r="183" ht="24" customHeight="1">
      <c r="A183" s="18" t="inlineStr">
        <is>
          <t>TOTAL PUNTOS DE FUNCION TABLA 7: CARRITO:</t>
        </is>
      </c>
      <c r="B183" s="19" t="n"/>
      <c r="C183" s="19" t="n"/>
      <c r="D183" s="19" t="n"/>
      <c r="E183" s="19" t="n"/>
      <c r="F183" s="20">
        <f>F166+F170+F174+F178+F182</f>
        <v/>
      </c>
    </row>
    <row r="185" ht="28" customHeight="1">
      <c r="A185" s="24" t="inlineStr">
        <is>
          <t>TABLA 8: DETALLE_CARRITO (PARTIDAS Y RENGLONES DE COMPRA TEMPORAL)</t>
        </is>
      </c>
    </row>
    <row r="186" ht="22" customHeight="1">
      <c r="A186" s="25" t="inlineStr">
        <is>
          <t>Tabla 1. Entradas (EI) - Tabla: detalle_carrito</t>
        </is>
      </c>
    </row>
    <row r="187" ht="22" customHeight="1">
      <c r="A187" s="11" t="inlineStr">
        <is>
          <t>Num.</t>
        </is>
      </c>
      <c r="B187" s="11" t="inlineStr">
        <is>
          <t>Entrada / Transaccion</t>
        </is>
      </c>
      <c r="C187" s="11" t="inlineStr">
        <is>
          <t>Archivos referidos (FTR)</t>
        </is>
      </c>
      <c r="D187" s="11" t="inlineStr">
        <is>
          <t>Elementos de datos (DET)</t>
        </is>
      </c>
      <c r="E187" s="11" t="inlineStr">
        <is>
          <t>Nivel</t>
        </is>
      </c>
      <c r="F187" s="11" t="inlineStr">
        <is>
          <t>Valor</t>
        </is>
      </c>
    </row>
    <row r="188" ht="20" customHeight="1">
      <c r="A188" s="15" t="n">
        <v>1</v>
      </c>
      <c r="B188" s="14" t="inlineStr">
        <is>
          <t>Agregar Producto al Carrito (Alta de Renglon)</t>
        </is>
      </c>
      <c r="C188" s="15" t="inlineStr">
        <is>
          <t>3 (detalle_carrito, carrito, productos)</t>
        </is>
      </c>
      <c r="D188" s="15" t="inlineStr">
        <is>
          <t>5 (id_carrito, id_producto, cantidad, precio, subtotal)</t>
        </is>
      </c>
      <c r="E188" s="15" t="inlineStr">
        <is>
          <t>Medio</t>
        </is>
      </c>
      <c r="F188" s="13" t="n">
        <v>4</v>
      </c>
    </row>
    <row r="189" ht="20" customHeight="1">
      <c r="A189" s="26" t="n">
        <v>2</v>
      </c>
      <c r="B189" s="27" t="inlineStr">
        <is>
          <t>Actualizar Cantidad de Unidades en Carrito (Modificacion)</t>
        </is>
      </c>
      <c r="C189" s="26" t="inlineStr">
        <is>
          <t>3 (detalle_carrito, carrito, productos)</t>
        </is>
      </c>
      <c r="D189" s="26" t="inlineStr">
        <is>
          <t>4 (id_detalle, cantidad, precio_unitario, subtotal)</t>
        </is>
      </c>
      <c r="E189" s="26" t="inlineStr">
        <is>
          <t>Bajo</t>
        </is>
      </c>
      <c r="F189" s="28" t="n">
        <v>3</v>
      </c>
    </row>
    <row r="190" ht="20" customHeight="1">
      <c r="A190" s="15" t="n">
        <v>3</v>
      </c>
      <c r="B190" s="14" t="inlineStr">
        <is>
          <t>Eliminar Item del Carrito de Compra (Baja)</t>
        </is>
      </c>
      <c r="C190" s="15" t="inlineStr">
        <is>
          <t>1 (detalle_carrito)</t>
        </is>
      </c>
      <c r="D190" s="15" t="inlineStr">
        <is>
          <t>2 (id_detalle_carrito, id_carrito)</t>
        </is>
      </c>
      <c r="E190" s="15" t="inlineStr">
        <is>
          <t>Bajo</t>
        </is>
      </c>
      <c r="F190" s="13" t="n">
        <v>3</v>
      </c>
    </row>
    <row r="191" ht="21" customHeight="1">
      <c r="A191" s="29" t="inlineStr">
        <is>
          <t>Subtotal EI (detalle_carrito):</t>
        </is>
      </c>
      <c r="B191" s="30" t="n"/>
      <c r="C191" s="30" t="n"/>
      <c r="D191" s="30" t="n"/>
      <c r="E191" s="30" t="n"/>
      <c r="F191" s="31">
        <f>SUM(F188:F190)</f>
        <v/>
      </c>
    </row>
    <row r="192" ht="22" customHeight="1">
      <c r="A192" s="25" t="inlineStr">
        <is>
          <t>Tabla 2. Salidas (EO) - Tabla: detalle_carrito</t>
        </is>
      </c>
    </row>
    <row r="193" ht="22" customHeight="1">
      <c r="A193" s="11" t="inlineStr">
        <is>
          <t>Num.</t>
        </is>
      </c>
      <c r="B193" s="11" t="inlineStr">
        <is>
          <t>Salida (Reporte con Calculos)</t>
        </is>
      </c>
      <c r="C193" s="11" t="inlineStr">
        <is>
          <t>Archivos referidos (FTR)</t>
        </is>
      </c>
      <c r="D193" s="11" t="inlineStr">
        <is>
          <t>Elementos de datos (DET)</t>
        </is>
      </c>
      <c r="E193" s="11" t="inlineStr">
        <is>
          <t>Nivel</t>
        </is>
      </c>
      <c r="F193" s="11" t="inlineStr">
        <is>
          <t>Valor</t>
        </is>
      </c>
    </row>
    <row r="194" ht="20" customHeight="1">
      <c r="A194" s="15" t="n">
        <v>1</v>
      </c>
      <c r="B194" s="14" t="inlineStr">
        <is>
          <t>Liquidacion Preliminar de Carrito (Calculo dinamico de SUM(precio*cant), IVA 16% y envio)</t>
        </is>
      </c>
      <c r="C194" s="15" t="inlineStr">
        <is>
          <t>3 (detalle_carrito, carrito, productos)</t>
        </is>
      </c>
      <c r="D194" s="15" t="inlineStr">
        <is>
          <t>8 (subtotal_sin_iva, monto_iva, costo_envio, total_estimado, ahorro_promociones...)</t>
        </is>
      </c>
      <c r="E194" s="15" t="inlineStr">
        <is>
          <t>Medio</t>
        </is>
      </c>
      <c r="F194" s="13" t="n">
        <v>5</v>
      </c>
    </row>
    <row r="195" ht="21" customHeight="1">
      <c r="A195" s="29" t="inlineStr">
        <is>
          <t>Subtotal EO (detalle_carrito):</t>
        </is>
      </c>
      <c r="B195" s="30" t="n"/>
      <c r="C195" s="30" t="n"/>
      <c r="D195" s="30" t="n"/>
      <c r="E195" s="30" t="n"/>
      <c r="F195" s="31">
        <f>SUM(F194:F194)</f>
        <v/>
      </c>
    </row>
    <row r="196" ht="22" customHeight="1">
      <c r="A196" s="25" t="inlineStr">
        <is>
          <t>Tabla 3. Peticiones (EQ) - Tabla: detalle_carrito</t>
        </is>
      </c>
    </row>
    <row r="197" ht="22" customHeight="1">
      <c r="A197" s="11" t="inlineStr">
        <is>
          <t>Num.</t>
        </is>
      </c>
      <c r="B197" s="11" t="inlineStr">
        <is>
          <t>Peticion (Consulta Directa)</t>
        </is>
      </c>
      <c r="C197" s="11" t="inlineStr">
        <is>
          <t>Archivos referidos (FTR)</t>
        </is>
      </c>
      <c r="D197" s="11" t="inlineStr">
        <is>
          <t>Elementos de datos (DET)</t>
        </is>
      </c>
      <c r="E197" s="11" t="inlineStr">
        <is>
          <t>Nivel</t>
        </is>
      </c>
      <c r="F197" s="11" t="inlineStr">
        <is>
          <t>Valor</t>
        </is>
      </c>
    </row>
    <row r="198" ht="20" customHeight="1">
      <c r="A198" s="15" t="n">
        <v>1</v>
      </c>
      <c r="B198" s="14" t="inlineStr">
        <is>
          <t>Listado de Renglones del Carrito Actual con Titulos y Precios</t>
        </is>
      </c>
      <c r="C198" s="15" t="inlineStr">
        <is>
          <t>2 (detalle_carrito, productos)</t>
        </is>
      </c>
      <c r="D198" s="15" t="inlineStr">
        <is>
          <t>6 (id_detalle, id_producto, titulo, cantidad, precio, subtotal)</t>
        </is>
      </c>
      <c r="E198" s="15" t="inlineStr">
        <is>
          <t>Medio</t>
        </is>
      </c>
      <c r="F198" s="13" t="n">
        <v>4</v>
      </c>
    </row>
    <row r="199" ht="21" customHeight="1">
      <c r="A199" s="29" t="inlineStr">
        <is>
          <t>Subtotal EQ (detalle_carrito):</t>
        </is>
      </c>
      <c r="B199" s="30" t="n"/>
      <c r="C199" s="30" t="n"/>
      <c r="D199" s="30" t="n"/>
      <c r="E199" s="30" t="n"/>
      <c r="F199" s="31">
        <f>SUM(F198:F198)</f>
        <v/>
      </c>
    </row>
    <row r="200" ht="22" customHeight="1">
      <c r="A200" s="25" t="inlineStr">
        <is>
          <t>Tabla 4. Archivos Internos (ILF) - Tabla: detalle_carrito</t>
        </is>
      </c>
    </row>
    <row r="201" ht="22" customHeight="1">
      <c r="A201" s="11" t="inlineStr">
        <is>
          <t>Num.</t>
        </is>
      </c>
      <c r="B201" s="11" t="inlineStr">
        <is>
          <t>Archivo / Tabla Interna</t>
        </is>
      </c>
      <c r="C201" s="11" t="inlineStr">
        <is>
          <t>Elementos de registro (RET)</t>
        </is>
      </c>
      <c r="D201" s="11" t="inlineStr">
        <is>
          <t>Elementos de datos (DET)</t>
        </is>
      </c>
      <c r="E201" s="11" t="inlineStr">
        <is>
          <t>Nivel</t>
        </is>
      </c>
      <c r="F201" s="11" t="inlineStr">
        <is>
          <t>Valor</t>
        </is>
      </c>
    </row>
    <row r="202" ht="20" customHeight="1">
      <c r="A202" s="15" t="n">
        <v>1</v>
      </c>
      <c r="B202" s="14" t="inlineStr">
        <is>
          <t>Tabla: detalle_carrito (Entidad de partidas individuales registradas en el carrito)</t>
        </is>
      </c>
      <c r="C202" s="15" t="inlineStr">
        <is>
          <t>1 (Registro Detalle)</t>
        </is>
      </c>
      <c r="D202" s="15" t="inlineStr">
        <is>
          <t>6 (id_detalle_carrito, id_carrito, id_producto, cantidad, precio_unitario, subtotal)</t>
        </is>
      </c>
      <c r="E202" s="15" t="inlineStr">
        <is>
          <t>Bajo</t>
        </is>
      </c>
      <c r="F202" s="13" t="n">
        <v>7</v>
      </c>
    </row>
    <row r="203" ht="21" customHeight="1">
      <c r="A203" s="29" t="inlineStr">
        <is>
          <t>Subtotal ILF (detalle_carrito):</t>
        </is>
      </c>
      <c r="B203" s="30" t="n"/>
      <c r="C203" s="30" t="n"/>
      <c r="D203" s="30" t="n"/>
      <c r="E203" s="30" t="n"/>
      <c r="F203" s="31">
        <f>SUM(F202:F202)</f>
        <v/>
      </c>
    </row>
    <row r="204" ht="22" customHeight="1">
      <c r="A204" s="25" t="inlineStr">
        <is>
          <t>Tabla 5. Archivos Externos (EIF) - Tabla: detalle_carrito</t>
        </is>
      </c>
    </row>
    <row r="205" ht="22" customHeight="1">
      <c r="A205" s="11" t="inlineStr">
        <is>
          <t>Num.</t>
        </is>
      </c>
      <c r="B205" s="11" t="inlineStr">
        <is>
          <t>Archivo / Interfaz Externa</t>
        </is>
      </c>
      <c r="C205" s="11" t="inlineStr">
        <is>
          <t>Elementos de registro (RET)</t>
        </is>
      </c>
      <c r="D205" s="11" t="inlineStr">
        <is>
          <t>Elementos de datos (DET)</t>
        </is>
      </c>
      <c r="E205" s="11" t="inlineStr">
        <is>
          <t>Nivel</t>
        </is>
      </c>
      <c r="F205" s="11" t="inlineStr">
        <is>
          <t>Valor</t>
        </is>
      </c>
    </row>
    <row r="206" ht="20" customHeight="1">
      <c r="A206" s="15" t="n">
        <v>1</v>
      </c>
      <c r="B206" s="14" t="inlineStr">
        <is>
          <t>API de Cotizacion Geografica de Envios (Skydropx / 99 Minutos API)</t>
        </is>
      </c>
      <c r="C206" s="15" t="inlineStr">
        <is>
          <t>1 (Cotizacion Envio)</t>
        </is>
      </c>
      <c r="D206" s="15" t="inlineStr">
        <is>
          <t>5 (origin_zip, dest_zip, weight_kg, carrier_rate, delivery_days)</t>
        </is>
      </c>
      <c r="E206" s="15" t="inlineStr">
        <is>
          <t>Bajo</t>
        </is>
      </c>
      <c r="F206" s="13" t="n">
        <v>5</v>
      </c>
    </row>
    <row r="207" ht="21" customHeight="1">
      <c r="A207" s="29" t="inlineStr">
        <is>
          <t>Subtotal EIF (detalle_carrito):</t>
        </is>
      </c>
      <c r="B207" s="30" t="n"/>
      <c r="C207" s="30" t="n"/>
      <c r="D207" s="30" t="n"/>
      <c r="E207" s="30" t="n"/>
      <c r="F207" s="31">
        <f>SUM(F206:F206)</f>
        <v/>
      </c>
    </row>
    <row r="208" ht="24" customHeight="1">
      <c r="A208" s="18" t="inlineStr">
        <is>
          <t>TOTAL PUNTOS DE FUNCION TABLA 8: DETALLE_CARRITO:</t>
        </is>
      </c>
      <c r="B208" s="19" t="n"/>
      <c r="C208" s="19" t="n"/>
      <c r="D208" s="19" t="n"/>
      <c r="E208" s="19" t="n"/>
      <c r="F208" s="20">
        <f>F191+F195+F199+F203+F207</f>
        <v/>
      </c>
    </row>
    <row r="210" ht="28" customHeight="1">
      <c r="A210" s="24" t="inlineStr">
        <is>
          <t>TABLA 9: PEDIDOS (TRANSACCIONES FORMALES DE VENTA Y CONTRATOS)</t>
        </is>
      </c>
    </row>
    <row r="211" ht="22" customHeight="1">
      <c r="A211" s="25" t="inlineStr">
        <is>
          <t>Tabla 1. Entradas (EI) - Tabla: pedidos</t>
        </is>
      </c>
    </row>
    <row r="212" ht="22" customHeight="1">
      <c r="A212" s="11" t="inlineStr">
        <is>
          <t>Num.</t>
        </is>
      </c>
      <c r="B212" s="11" t="inlineStr">
        <is>
          <t>Entrada / Transaccion</t>
        </is>
      </c>
      <c r="C212" s="11" t="inlineStr">
        <is>
          <t>Archivos referidos (FTR)</t>
        </is>
      </c>
      <c r="D212" s="11" t="inlineStr">
        <is>
          <t>Elementos de datos (DET)</t>
        </is>
      </c>
      <c r="E212" s="11" t="inlineStr">
        <is>
          <t>Nivel</t>
        </is>
      </c>
      <c r="F212" s="11" t="inlineStr">
        <is>
          <t>Valor</t>
        </is>
      </c>
    </row>
    <row r="213" ht="20" customHeight="1">
      <c r="A213" s="15" t="n">
        <v>1</v>
      </c>
      <c r="B213" s="14" t="inlineStr">
        <is>
          <t>Generar Pedido de Compra Formal (Alta / Checkout)</t>
        </is>
      </c>
      <c r="C213" s="15" t="inlineStr">
        <is>
          <t>3 (pedidos, usuarios, direcciones_entrega)</t>
        </is>
      </c>
      <c r="D213" s="15" t="inlineStr">
        <is>
          <t>8 (id_vendedor, id_comprador, id_direccion, id_metodo, subtotal, total, estado...)</t>
        </is>
      </c>
      <c r="E213" s="15" t="inlineStr">
        <is>
          <t>Alto</t>
        </is>
      </c>
      <c r="F213" s="13" t="n">
        <v>6</v>
      </c>
    </row>
    <row r="214" ht="20" customHeight="1">
      <c r="A214" s="26" t="n">
        <v>2</v>
      </c>
      <c r="B214" s="27" t="inlineStr">
        <is>
          <t>Actualizar Estado de Pedido y Despacho (Modificacion de Estatus)</t>
        </is>
      </c>
      <c r="C214" s="26" t="inlineStr">
        <is>
          <t>2 (pedidos, notificaciones)</t>
        </is>
      </c>
      <c r="D214" s="26" t="inlineStr">
        <is>
          <t>3 (id_pedido, estado_pedido, estado_pago)</t>
        </is>
      </c>
      <c r="E214" s="26" t="inlineStr">
        <is>
          <t>Bajo</t>
        </is>
      </c>
      <c r="F214" s="28" t="n">
        <v>3</v>
      </c>
    </row>
    <row r="215" ht="20" customHeight="1">
      <c r="A215" s="15" t="n">
        <v>3</v>
      </c>
      <c r="B215" s="14" t="inlineStr">
        <is>
          <t>Cancelar / Revertir Orden de Compra (Baja / Devolucion)</t>
        </is>
      </c>
      <c r="C215" s="15" t="inlineStr">
        <is>
          <t>3 (pedidos, productos, detalle_pedidos)</t>
        </is>
      </c>
      <c r="D215" s="15" t="inlineStr">
        <is>
          <t>3 (id_pedido, estado_pedido, motivo_cancelacion)</t>
        </is>
      </c>
      <c r="E215" s="15" t="inlineStr">
        <is>
          <t>Medio</t>
        </is>
      </c>
      <c r="F215" s="13" t="n">
        <v>4</v>
      </c>
    </row>
    <row r="216" ht="21" customHeight="1">
      <c r="A216" s="29" t="inlineStr">
        <is>
          <t>Subtotal EI (pedidos):</t>
        </is>
      </c>
      <c r="B216" s="30" t="n"/>
      <c r="C216" s="30" t="n"/>
      <c r="D216" s="30" t="n"/>
      <c r="E216" s="30" t="n"/>
      <c r="F216" s="31">
        <f>SUM(F213:F215)</f>
        <v/>
      </c>
    </row>
    <row r="217" ht="22" customHeight="1">
      <c r="A217" s="25" t="inlineStr">
        <is>
          <t>Tabla 2. Salidas (EO) - Tabla: pedidos</t>
        </is>
      </c>
    </row>
    <row r="218" ht="22" customHeight="1">
      <c r="A218" s="11" t="inlineStr">
        <is>
          <t>Num.</t>
        </is>
      </c>
      <c r="B218" s="11" t="inlineStr">
        <is>
          <t>Salida (Reporte con Calculos)</t>
        </is>
      </c>
      <c r="C218" s="11" t="inlineStr">
        <is>
          <t>Archivos referidos (FTR)</t>
        </is>
      </c>
      <c r="D218" s="11" t="inlineStr">
        <is>
          <t>Elementos de datos (DET)</t>
        </is>
      </c>
      <c r="E218" s="11" t="inlineStr">
        <is>
          <t>Nivel</t>
        </is>
      </c>
      <c r="F218" s="11" t="inlineStr">
        <is>
          <t>Valor</t>
        </is>
      </c>
    </row>
    <row r="219" ht="20" customHeight="1">
      <c r="A219" s="15" t="n">
        <v>1</v>
      </c>
      <c r="B219" s="14" t="inlineStr">
        <is>
          <t>Reporte Financiero de Facturacion y Liquidacion a Vendedores (Calculo de ventas brutas, comision 5% y neto)</t>
        </is>
      </c>
      <c r="C219" s="15" t="inlineStr">
        <is>
          <t>3 (pedidos, detalle_pedidos, usuarios)</t>
        </is>
      </c>
      <c r="D219" s="15" t="inlineStr">
        <is>
          <t>9 (id_vendedor, total_bruto, retencion_sat, comision_plataforma, saldo_neto, pedidos_count...)</t>
        </is>
      </c>
      <c r="E219" s="15" t="inlineStr">
        <is>
          <t>Medio</t>
        </is>
      </c>
      <c r="F219" s="13" t="n">
        <v>5</v>
      </c>
    </row>
    <row r="220" ht="20" customHeight="1">
      <c r="A220" s="26" t="n">
        <v>2</v>
      </c>
      <c r="B220" s="27" t="inlineStr">
        <is>
          <t>Estado de Cuenta Mensual de Comprador (Calculo de compras totales, ticket promedio y ahorro)</t>
        </is>
      </c>
      <c r="C220" s="26" t="inlineStr">
        <is>
          <t>2 (pedidos, usuarios)</t>
        </is>
      </c>
      <c r="D220" s="26" t="inlineStr">
        <is>
          <t>7 (id_comprador, total_pedidos, total_gastado, ticket_promedio, ahorro_obtenido...)</t>
        </is>
      </c>
      <c r="E220" s="26" t="inlineStr">
        <is>
          <t>Medio</t>
        </is>
      </c>
      <c r="F220" s="28" t="n">
        <v>5</v>
      </c>
    </row>
    <row r="221" ht="21" customHeight="1">
      <c r="A221" s="29" t="inlineStr">
        <is>
          <t>Subtotal EO (pedidos):</t>
        </is>
      </c>
      <c r="B221" s="30" t="n"/>
      <c r="C221" s="30" t="n"/>
      <c r="D221" s="30" t="n"/>
      <c r="E221" s="30" t="n"/>
      <c r="F221" s="31">
        <f>SUM(F219:F220)</f>
        <v/>
      </c>
    </row>
    <row r="222" ht="22" customHeight="1">
      <c r="A222" s="25" t="inlineStr">
        <is>
          <t>Tabla 3. Peticiones (EQ) - Tabla: pedidos</t>
        </is>
      </c>
    </row>
    <row r="223" ht="22" customHeight="1">
      <c r="A223" s="11" t="inlineStr">
        <is>
          <t>Num.</t>
        </is>
      </c>
      <c r="B223" s="11" t="inlineStr">
        <is>
          <t>Peticion (Consulta Directa)</t>
        </is>
      </c>
      <c r="C223" s="11" t="inlineStr">
        <is>
          <t>Archivos referidos (FTR)</t>
        </is>
      </c>
      <c r="D223" s="11" t="inlineStr">
        <is>
          <t>Elementos de datos (DET)</t>
        </is>
      </c>
      <c r="E223" s="11" t="inlineStr">
        <is>
          <t>Nivel</t>
        </is>
      </c>
      <c r="F223" s="11" t="inlineStr">
        <is>
          <t>Valor</t>
        </is>
      </c>
    </row>
    <row r="224" ht="20" customHeight="1">
      <c r="A224" s="15" t="n">
        <v>1</v>
      </c>
      <c r="B224" s="14" t="inlineStr">
        <is>
          <t>Consulta de Orden de Compra por Numero de Pedido</t>
        </is>
      </c>
      <c r="C224" s="15" t="inlineStr">
        <is>
          <t>3 (pedidos, usuarios, metodos_pago)</t>
        </is>
      </c>
      <c r="D224" s="15" t="inlineStr">
        <is>
          <t>8 (id_pedido, fecha_pedido, comprador, vendedor, monto_total, estado_pedido, estado_pago...)</t>
        </is>
      </c>
      <c r="E224" s="15" t="inlineStr">
        <is>
          <t>Medio</t>
        </is>
      </c>
      <c r="F224" s="13" t="n">
        <v>4</v>
      </c>
    </row>
    <row r="225" ht="20" customHeight="1">
      <c r="A225" s="26" t="n">
        <v>2</v>
      </c>
      <c r="B225" s="27" t="inlineStr">
        <is>
          <t>Historial Cronologico de Pedidos por Usuario (Mis Compras / Mis Ventas)</t>
        </is>
      </c>
      <c r="C225" s="26" t="inlineStr">
        <is>
          <t>2 (pedidos, usuarios)</t>
        </is>
      </c>
      <c r="D225" s="26" t="inlineStr">
        <is>
          <t>6 (id_pedido, fecha_pedido, total, estado_pedido, estado_pago, total_articulos)</t>
        </is>
      </c>
      <c r="E225" s="26" t="inlineStr">
        <is>
          <t>Medio</t>
        </is>
      </c>
      <c r="F225" s="28" t="n">
        <v>4</v>
      </c>
    </row>
    <row r="226" ht="21" customHeight="1">
      <c r="A226" s="29" t="inlineStr">
        <is>
          <t>Subtotal EQ (pedidos):</t>
        </is>
      </c>
      <c r="B226" s="30" t="n"/>
      <c r="C226" s="30" t="n"/>
      <c r="D226" s="30" t="n"/>
      <c r="E226" s="30" t="n"/>
      <c r="F226" s="31">
        <f>SUM(F224:F225)</f>
        <v/>
      </c>
    </row>
    <row r="227" ht="22" customHeight="1">
      <c r="A227" s="25" t="inlineStr">
        <is>
          <t>Tabla 4. Archivos Internos (ILF) - Tabla: pedidos</t>
        </is>
      </c>
    </row>
    <row r="228" ht="22" customHeight="1">
      <c r="A228" s="11" t="inlineStr">
        <is>
          <t>Num.</t>
        </is>
      </c>
      <c r="B228" s="11" t="inlineStr">
        <is>
          <t>Archivo / Tabla Interna</t>
        </is>
      </c>
      <c r="C228" s="11" t="inlineStr">
        <is>
          <t>Elementos de registro (RET)</t>
        </is>
      </c>
      <c r="D228" s="11" t="inlineStr">
        <is>
          <t>Elementos de datos (DET)</t>
        </is>
      </c>
      <c r="E228" s="11" t="inlineStr">
        <is>
          <t>Nivel</t>
        </is>
      </c>
      <c r="F228" s="11" t="inlineStr">
        <is>
          <t>Valor</t>
        </is>
      </c>
    </row>
    <row r="229" ht="20" customHeight="1">
      <c r="A229" s="15" t="n">
        <v>1</v>
      </c>
      <c r="B229" s="14" t="inlineStr">
        <is>
          <t>Tabla: pedidos (Registro maestro transaccional de ordenes comerciales y estados de pago)</t>
        </is>
      </c>
      <c r="C229" s="15" t="inlineStr">
        <is>
          <t>1 (Registro Pedido)</t>
        </is>
      </c>
      <c r="D229" s="15" t="inlineStr">
        <is>
          <t>10 (id_pedido, id_vendedor, id_comprador, id_dir, id_metodo, subtotal, total, est_ped, est_pago, fecha)</t>
        </is>
      </c>
      <c r="E229" s="15" t="inlineStr">
        <is>
          <t>Bajo</t>
        </is>
      </c>
      <c r="F229" s="13" t="n">
        <v>7</v>
      </c>
    </row>
    <row r="230" ht="21" customHeight="1">
      <c r="A230" s="29" t="inlineStr">
        <is>
          <t>Subtotal ILF (pedidos):</t>
        </is>
      </c>
      <c r="B230" s="30" t="n"/>
      <c r="C230" s="30" t="n"/>
      <c r="D230" s="30" t="n"/>
      <c r="E230" s="30" t="n"/>
      <c r="F230" s="31">
        <f>SUM(F229:F229)</f>
        <v/>
      </c>
    </row>
    <row r="231" ht="22" customHeight="1">
      <c r="A231" s="25" t="inlineStr">
        <is>
          <t>Tabla 5. Archivos Externos (EIF) - Tabla: pedidos</t>
        </is>
      </c>
    </row>
    <row r="232" ht="22" customHeight="1">
      <c r="A232" s="11" t="inlineStr">
        <is>
          <t>Num.</t>
        </is>
      </c>
      <c r="B232" s="11" t="inlineStr">
        <is>
          <t>Archivo / Interfaz Externa</t>
        </is>
      </c>
      <c r="C232" s="11" t="inlineStr">
        <is>
          <t>Elementos de registro (RET)</t>
        </is>
      </c>
      <c r="D232" s="11" t="inlineStr">
        <is>
          <t>Elementos de datos (DET)</t>
        </is>
      </c>
      <c r="E232" s="11" t="inlineStr">
        <is>
          <t>Nivel</t>
        </is>
      </c>
      <c r="F232" s="11" t="inlineStr">
        <is>
          <t>Valor</t>
        </is>
      </c>
    </row>
    <row r="233" ht="20" customHeight="1">
      <c r="A233" s="15" t="n">
        <v>1</v>
      </c>
      <c r="B233" s="14" t="inlineStr">
        <is>
          <t>Pasarela de Pagos Seguros en Linea (Stripe / Mercado Pago / SPEI Banxico)</t>
        </is>
      </c>
      <c r="C233" s="15" t="inlineStr">
        <is>
          <t>1 (Intencion de Pago)</t>
        </is>
      </c>
      <c r="D233" s="15" t="inlineStr">
        <is>
          <t>6 (payment_intent_id, amount_cents, currency, status, payment_type, fee)</t>
        </is>
      </c>
      <c r="E233" s="15" t="inlineStr">
        <is>
          <t>Bajo</t>
        </is>
      </c>
      <c r="F233" s="13" t="n">
        <v>5</v>
      </c>
    </row>
    <row r="234" ht="21" customHeight="1">
      <c r="A234" s="29" t="inlineStr">
        <is>
          <t>Subtotal EIF (pedidos):</t>
        </is>
      </c>
      <c r="B234" s="30" t="n"/>
      <c r="C234" s="30" t="n"/>
      <c r="D234" s="30" t="n"/>
      <c r="E234" s="30" t="n"/>
      <c r="F234" s="31">
        <f>SUM(F233:F233)</f>
        <v/>
      </c>
    </row>
    <row r="235" ht="24" customHeight="1">
      <c r="A235" s="18" t="inlineStr">
        <is>
          <t>TOTAL PUNTOS DE FUNCION TABLA 9: PEDIDOS:</t>
        </is>
      </c>
      <c r="B235" s="19" t="n"/>
      <c r="C235" s="19" t="n"/>
      <c r="D235" s="19" t="n"/>
      <c r="E235" s="19" t="n"/>
      <c r="F235" s="20">
        <f>F216+F221+F226+F230+F234</f>
        <v/>
      </c>
    </row>
    <row r="237" ht="28" customHeight="1">
      <c r="A237" s="24" t="inlineStr">
        <is>
          <t>TABLA 10: DETALLE_PEDIDOS (PARTIDAS COMERCIALES Y COSTO DE VENTA)</t>
        </is>
      </c>
    </row>
    <row r="238" ht="22" customHeight="1">
      <c r="A238" s="25" t="inlineStr">
        <is>
          <t>Tabla 1. Entradas (EI) - Tabla: detalle_pedidos</t>
        </is>
      </c>
    </row>
    <row r="239" ht="22" customHeight="1">
      <c r="A239" s="11" t="inlineStr">
        <is>
          <t>Num.</t>
        </is>
      </c>
      <c r="B239" s="11" t="inlineStr">
        <is>
          <t>Entrada / Transaccion</t>
        </is>
      </c>
      <c r="C239" s="11" t="inlineStr">
        <is>
          <t>Archivos referidos (FTR)</t>
        </is>
      </c>
      <c r="D239" s="11" t="inlineStr">
        <is>
          <t>Elementos de datos (DET)</t>
        </is>
      </c>
      <c r="E239" s="11" t="inlineStr">
        <is>
          <t>Nivel</t>
        </is>
      </c>
      <c r="F239" s="11" t="inlineStr">
        <is>
          <t>Valor</t>
        </is>
      </c>
    </row>
    <row r="240" ht="20" customHeight="1">
      <c r="A240" s="15" t="n">
        <v>1</v>
      </c>
      <c r="B240" s="14" t="inlineStr">
        <is>
          <t>Insertar Partidas de Pedido Cerrado (Alta de Renglones)</t>
        </is>
      </c>
      <c r="C240" s="15" t="inlineStr">
        <is>
          <t>3 (detalle_pedidos, pedidos, productos)</t>
        </is>
      </c>
      <c r="D240" s="15" t="inlineStr">
        <is>
          <t>6 (id_pedido, id_producto, cantidad, precio, costo_unitario, subtotal)</t>
        </is>
      </c>
      <c r="E240" s="15" t="inlineStr">
        <is>
          <t>Alto</t>
        </is>
      </c>
      <c r="F240" s="13" t="n">
        <v>6</v>
      </c>
    </row>
    <row r="241" ht="20" customHeight="1">
      <c r="A241" s="26" t="n">
        <v>2</v>
      </c>
      <c r="B241" s="27" t="inlineStr">
        <is>
          <t>Ajustar Cantidades por Devolucion Parcial (Modificacion)</t>
        </is>
      </c>
      <c r="C241" s="26" t="inlineStr">
        <is>
          <t>3 (detalle_pedidos, pedidos, productos)</t>
        </is>
      </c>
      <c r="D241" s="26" t="inlineStr">
        <is>
          <t>4 (id_detalle, cantidad, subtotal, motivo)</t>
        </is>
      </c>
      <c r="E241" s="26" t="inlineStr">
        <is>
          <t>Bajo</t>
        </is>
      </c>
      <c r="F241" s="28" t="n">
        <v>3</v>
      </c>
    </row>
    <row r="242" ht="20" customHeight="1">
      <c r="A242" s="15" t="n">
        <v>3</v>
      </c>
      <c r="B242" s="14" t="inlineStr">
        <is>
          <t>Cancelar Renglon de Pedido no Disponible (Baja)</t>
        </is>
      </c>
      <c r="C242" s="15" t="inlineStr">
        <is>
          <t>2 (detalle_pedidos, pedidos)</t>
        </is>
      </c>
      <c r="D242" s="15" t="inlineStr">
        <is>
          <t>2 (id_detalle, id_pedido)</t>
        </is>
      </c>
      <c r="E242" s="15" t="inlineStr">
        <is>
          <t>Bajo</t>
        </is>
      </c>
      <c r="F242" s="13" t="n">
        <v>3</v>
      </c>
    </row>
    <row r="243" ht="21" customHeight="1">
      <c r="A243" s="29" t="inlineStr">
        <is>
          <t>Subtotal EI (detalle_pedidos):</t>
        </is>
      </c>
      <c r="B243" s="30" t="n"/>
      <c r="C243" s="30" t="n"/>
      <c r="D243" s="30" t="n"/>
      <c r="E243" s="30" t="n"/>
      <c r="F243" s="31">
        <f>SUM(F240:F242)</f>
        <v/>
      </c>
    </row>
    <row r="244" ht="22" customHeight="1">
      <c r="A244" s="25" t="inlineStr">
        <is>
          <t>Tabla 2. Salidas (EO) - Tabla: detalle_pedidos</t>
        </is>
      </c>
    </row>
    <row r="245" ht="22" customHeight="1">
      <c r="A245" s="11" t="inlineStr">
        <is>
          <t>Num.</t>
        </is>
      </c>
      <c r="B245" s="11" t="inlineStr">
        <is>
          <t>Salida (Reporte con Calculos)</t>
        </is>
      </c>
      <c r="C245" s="11" t="inlineStr">
        <is>
          <t>Archivos referidos (FTR)</t>
        </is>
      </c>
      <c r="D245" s="11" t="inlineStr">
        <is>
          <t>Elementos de datos (DET)</t>
        </is>
      </c>
      <c r="E245" s="11" t="inlineStr">
        <is>
          <t>Nivel</t>
        </is>
      </c>
      <c r="F245" s="11" t="inlineStr">
        <is>
          <t>Valor</t>
        </is>
      </c>
    </row>
    <row r="246" ht="20" customHeight="1">
      <c r="A246" s="15" t="n">
        <v>1</v>
      </c>
      <c r="B246" s="14" t="inlineStr">
        <is>
          <t>Conciliacion de Costo de Ventas (COGS) y Margen Real (Calculo de SUM(costo*cant), utilidad bruta y margen neto)</t>
        </is>
      </c>
      <c r="C246" s="15" t="inlineStr">
        <is>
          <t>3 (detalle_pedidos, pedidos, productos)</t>
        </is>
      </c>
      <c r="D246" s="15" t="inlineStr">
        <is>
          <t>8 (id_pedido, id_producto, cantidad, ingreso_bruto, costo_total_cogs, utilidad_bruta, margen_pct...)</t>
        </is>
      </c>
      <c r="E246" s="15" t="inlineStr">
        <is>
          <t>Medio</t>
        </is>
      </c>
      <c r="F246" s="13" t="n">
        <v>5</v>
      </c>
    </row>
    <row r="247" ht="21" customHeight="1">
      <c r="A247" s="29" t="inlineStr">
        <is>
          <t>Subtotal EO (detalle_pedidos):</t>
        </is>
      </c>
      <c r="B247" s="30" t="n"/>
      <c r="C247" s="30" t="n"/>
      <c r="D247" s="30" t="n"/>
      <c r="E247" s="30" t="n"/>
      <c r="F247" s="31">
        <f>SUM(F246:F246)</f>
        <v/>
      </c>
    </row>
    <row r="248" ht="22" customHeight="1">
      <c r="A248" s="25" t="inlineStr">
        <is>
          <t>Tabla 3. Peticiones (EQ) - Tabla: detalle_pedidos</t>
        </is>
      </c>
    </row>
    <row r="249" ht="22" customHeight="1">
      <c r="A249" s="11" t="inlineStr">
        <is>
          <t>Num.</t>
        </is>
      </c>
      <c r="B249" s="11" t="inlineStr">
        <is>
          <t>Peticion (Consulta Directa)</t>
        </is>
      </c>
      <c r="C249" s="11" t="inlineStr">
        <is>
          <t>Archivos referidos (FTR)</t>
        </is>
      </c>
      <c r="D249" s="11" t="inlineStr">
        <is>
          <t>Elementos de datos (DET)</t>
        </is>
      </c>
      <c r="E249" s="11" t="inlineStr">
        <is>
          <t>Nivel</t>
        </is>
      </c>
      <c r="F249" s="11" t="inlineStr">
        <is>
          <t>Valor</t>
        </is>
      </c>
    </row>
    <row r="250" ht="20" customHeight="1">
      <c r="A250" s="15" t="n">
        <v>1</v>
      </c>
      <c r="B250" s="14" t="inlineStr">
        <is>
          <t>Consulta de Renglones y Partidas de una Orden Especifica</t>
        </is>
      </c>
      <c r="C250" s="15" t="inlineStr">
        <is>
          <t>2 (detalle_pedidos, productos)</t>
        </is>
      </c>
      <c r="D250" s="15" t="inlineStr">
        <is>
          <t>6 (id_detalle, id_producto, titulo_prod, cantidad, precio_unitario, subtotal)</t>
        </is>
      </c>
      <c r="E250" s="15" t="inlineStr">
        <is>
          <t>Medio</t>
        </is>
      </c>
      <c r="F250" s="13" t="n">
        <v>4</v>
      </c>
    </row>
    <row r="251" ht="21" customHeight="1">
      <c r="A251" s="29" t="inlineStr">
        <is>
          <t>Subtotal EQ (detalle_pedidos):</t>
        </is>
      </c>
      <c r="B251" s="30" t="n"/>
      <c r="C251" s="30" t="n"/>
      <c r="D251" s="30" t="n"/>
      <c r="E251" s="30" t="n"/>
      <c r="F251" s="31">
        <f>SUM(F250:F250)</f>
        <v/>
      </c>
    </row>
    <row r="252" ht="22" customHeight="1">
      <c r="A252" s="25" t="inlineStr">
        <is>
          <t>Tabla 4. Archivos Internos (ILF) - Tabla: detalle_pedidos</t>
        </is>
      </c>
    </row>
    <row r="253" ht="22" customHeight="1">
      <c r="A253" s="11" t="inlineStr">
        <is>
          <t>Num.</t>
        </is>
      </c>
      <c r="B253" s="11" t="inlineStr">
        <is>
          <t>Archivo / Tabla Interna</t>
        </is>
      </c>
      <c r="C253" s="11" t="inlineStr">
        <is>
          <t>Elementos de registro (RET)</t>
        </is>
      </c>
      <c r="D253" s="11" t="inlineStr">
        <is>
          <t>Elementos de datos (DET)</t>
        </is>
      </c>
      <c r="E253" s="11" t="inlineStr">
        <is>
          <t>Nivel</t>
        </is>
      </c>
      <c r="F253" s="11" t="inlineStr">
        <is>
          <t>Valor</t>
        </is>
      </c>
    </row>
    <row r="254" ht="20" customHeight="1">
      <c r="A254" s="15" t="n">
        <v>1</v>
      </c>
      <c r="B254" s="14" t="inlineStr">
        <is>
          <t>Tabla: detalle_pedidos (Registro individual de aranceles, cantidades e items por orden)</t>
        </is>
      </c>
      <c r="C254" s="15" t="inlineStr">
        <is>
          <t>1 (Registro Detalle)</t>
        </is>
      </c>
      <c r="D254" s="15" t="inlineStr">
        <is>
          <t>8 (id_detalle, id_pedido, id_producto, cantidad, precio, costo, subtotal, notificacion)</t>
        </is>
      </c>
      <c r="E254" s="15" t="inlineStr">
        <is>
          <t>Bajo</t>
        </is>
      </c>
      <c r="F254" s="13" t="n">
        <v>7</v>
      </c>
    </row>
    <row r="255" ht="21" customHeight="1">
      <c r="A255" s="29" t="inlineStr">
        <is>
          <t>Subtotal ILF (detalle_pedidos):</t>
        </is>
      </c>
      <c r="B255" s="30" t="n"/>
      <c r="C255" s="30" t="n"/>
      <c r="D255" s="30" t="n"/>
      <c r="E255" s="30" t="n"/>
      <c r="F255" s="31">
        <f>SUM(F254:F254)</f>
        <v/>
      </c>
    </row>
    <row r="256" ht="22" customHeight="1">
      <c r="A256" s="25" t="inlineStr">
        <is>
          <t>Tabla 5. Archivos Externos (EIF) - Tabla: detalle_pedidos</t>
        </is>
      </c>
    </row>
    <row r="257" ht="22" customHeight="1">
      <c r="A257" s="11" t="inlineStr">
        <is>
          <t>Num.</t>
        </is>
      </c>
      <c r="B257" s="11" t="inlineStr">
        <is>
          <t>Archivo / Interfaz Externa</t>
        </is>
      </c>
      <c r="C257" s="11" t="inlineStr">
        <is>
          <t>Elementos de registro (RET)</t>
        </is>
      </c>
      <c r="D257" s="11" t="inlineStr">
        <is>
          <t>Elementos de datos (DET)</t>
        </is>
      </c>
      <c r="E257" s="11" t="inlineStr">
        <is>
          <t>Nivel</t>
        </is>
      </c>
      <c r="F257" s="11" t="inlineStr">
        <is>
          <t>Valor</t>
        </is>
      </c>
    </row>
    <row r="258" ht="20" customHeight="1">
      <c r="A258" s="15" t="n">
        <v>1</v>
      </c>
      <c r="B258" s="14" t="inlineStr">
        <is>
          <t>Servicio de Timbrado Fiscal CFDI 4.0 (PAC Autorizado SAT)</t>
        </is>
      </c>
      <c r="C258" s="15" t="inlineStr">
        <is>
          <t>1 (Comprobante Fiscal)</t>
        </is>
      </c>
      <c r="D258" s="15" t="inlineStr">
        <is>
          <t>6 (uuid_fiscal, rfc_emisor, rfc_receptor, total_impuestos, sello_digital, fecha)</t>
        </is>
      </c>
      <c r="E258" s="15" t="inlineStr">
        <is>
          <t>Bajo</t>
        </is>
      </c>
      <c r="F258" s="13" t="n">
        <v>5</v>
      </c>
    </row>
    <row r="259" ht="21" customHeight="1">
      <c r="A259" s="29" t="inlineStr">
        <is>
          <t>Subtotal EIF (detalle_pedidos):</t>
        </is>
      </c>
      <c r="B259" s="30" t="n"/>
      <c r="C259" s="30" t="n"/>
      <c r="D259" s="30" t="n"/>
      <c r="E259" s="30" t="n"/>
      <c r="F259" s="31">
        <f>SUM(F258:F258)</f>
        <v/>
      </c>
    </row>
    <row r="260" ht="24" customHeight="1">
      <c r="A260" s="18" t="inlineStr">
        <is>
          <t>TOTAL PUNTOS DE FUNCION TABLA 10: DETALLE_PEDIDOS:</t>
        </is>
      </c>
      <c r="B260" s="19" t="n"/>
      <c r="C260" s="19" t="n"/>
      <c r="D260" s="19" t="n"/>
      <c r="E260" s="19" t="n"/>
      <c r="F260" s="20">
        <f>F243+F247+F251+F255+F259</f>
        <v/>
      </c>
    </row>
    <row r="262" ht="28" customHeight="1">
      <c r="A262" s="24" t="inlineStr">
        <is>
          <t>TABLA 11: NOTIFICACIONES (ALERTAS OPERATIVAS Y MENSAJERIA)</t>
        </is>
      </c>
    </row>
    <row r="263" ht="22" customHeight="1">
      <c r="A263" s="25" t="inlineStr">
        <is>
          <t>Tabla 1. Entradas (EI) - Tabla: notificaciones</t>
        </is>
      </c>
    </row>
    <row r="264" ht="22" customHeight="1">
      <c r="A264" s="11" t="inlineStr">
        <is>
          <t>Num.</t>
        </is>
      </c>
      <c r="B264" s="11" t="inlineStr">
        <is>
          <t>Entrada / Transaccion</t>
        </is>
      </c>
      <c r="C264" s="11" t="inlineStr">
        <is>
          <t>Archivos referidos (FTR)</t>
        </is>
      </c>
      <c r="D264" s="11" t="inlineStr">
        <is>
          <t>Elementos de datos (DET)</t>
        </is>
      </c>
      <c r="E264" s="11" t="inlineStr">
        <is>
          <t>Nivel</t>
        </is>
      </c>
      <c r="F264" s="11" t="inlineStr">
        <is>
          <t>Valor</t>
        </is>
      </c>
    </row>
    <row r="265" ht="20" customHeight="1">
      <c r="A265" s="15" t="n">
        <v>1</v>
      </c>
      <c r="B265" s="14" t="inlineStr">
        <is>
          <t>Encolar Nueva Notificacion Push / WhatsApp (Alta)</t>
        </is>
      </c>
      <c r="C265" s="15" t="inlineStr">
        <is>
          <t>2 (notificaciones, usuarios)</t>
        </is>
      </c>
      <c r="D265" s="15" t="inlineStr">
        <is>
          <t>6 (id_usuario, telefono, mensaje, tipo_alerta, canal, fecha)</t>
        </is>
      </c>
      <c r="E265" s="15" t="inlineStr">
        <is>
          <t>Medio</t>
        </is>
      </c>
      <c r="F265" s="13" t="n">
        <v>4</v>
      </c>
    </row>
    <row r="266" ht="20" customHeight="1">
      <c r="A266" s="26" t="n">
        <v>2</v>
      </c>
      <c r="B266" s="27" t="inlineStr">
        <is>
          <t>Marcar Notificacion como Leida / Procesada (Modificacion)</t>
        </is>
      </c>
      <c r="C266" s="26" t="inlineStr">
        <is>
          <t>1 (notificaciones)</t>
        </is>
      </c>
      <c r="D266" s="26" t="inlineStr">
        <is>
          <t>3 (id_notificacion, estado_lectura, fecha)</t>
        </is>
      </c>
      <c r="E266" s="26" t="inlineStr">
        <is>
          <t>Bajo</t>
        </is>
      </c>
      <c r="F266" s="28" t="n">
        <v>3</v>
      </c>
    </row>
    <row r="267" ht="20" customHeight="1">
      <c r="A267" s="15" t="n">
        <v>3</v>
      </c>
      <c r="B267" s="14" t="inlineStr">
        <is>
          <t>Purgar Historial de Notificaciones Antiguas (Baja)</t>
        </is>
      </c>
      <c r="C267" s="15" t="inlineStr">
        <is>
          <t>1 (notificaciones)</t>
        </is>
      </c>
      <c r="D267" s="15" t="inlineStr">
        <is>
          <t>2 (id_notificacion, fecha_envio)</t>
        </is>
      </c>
      <c r="E267" s="15" t="inlineStr">
        <is>
          <t>Bajo</t>
        </is>
      </c>
      <c r="F267" s="13" t="n">
        <v>3</v>
      </c>
    </row>
    <row r="268" ht="21" customHeight="1">
      <c r="A268" s="29" t="inlineStr">
        <is>
          <t>Subtotal EI (notificaciones):</t>
        </is>
      </c>
      <c r="B268" s="30" t="n"/>
      <c r="C268" s="30" t="n"/>
      <c r="D268" s="30" t="n"/>
      <c r="E268" s="30" t="n"/>
      <c r="F268" s="31">
        <f>SUM(F265:F267)</f>
        <v/>
      </c>
    </row>
    <row r="269" ht="22" customHeight="1">
      <c r="A269" s="25" t="inlineStr">
        <is>
          <t>Tabla 2. Salidas (EO) - Tabla: notificaciones</t>
        </is>
      </c>
    </row>
    <row r="270" ht="22" customHeight="1">
      <c r="A270" s="11" t="inlineStr">
        <is>
          <t>Num.</t>
        </is>
      </c>
      <c r="B270" s="11" t="inlineStr">
        <is>
          <t>Salida (Reporte con Calculos)</t>
        </is>
      </c>
      <c r="C270" s="11" t="inlineStr">
        <is>
          <t>Archivos referidos (FTR)</t>
        </is>
      </c>
      <c r="D270" s="11" t="inlineStr">
        <is>
          <t>Elementos de datos (DET)</t>
        </is>
      </c>
      <c r="E270" s="11" t="inlineStr">
        <is>
          <t>Nivel</t>
        </is>
      </c>
      <c r="F270" s="11" t="inlineStr">
        <is>
          <t>Valor</t>
        </is>
      </c>
    </row>
    <row r="271" ht="20" customHeight="1">
      <c r="A271" s="15" t="n">
        <v>1</v>
      </c>
      <c r="B271" s="14" t="inlineStr">
        <is>
          <t>Metrica de Rendimiento de Mensajeria (Calculo de tasa de apertura [(leidas/enviadas)*100] y costo por canal)</t>
        </is>
      </c>
      <c r="C271" s="15" t="inlineStr">
        <is>
          <t>2 (notificaciones, usuarios)</t>
        </is>
      </c>
      <c r="D271" s="15" t="inlineStr">
        <is>
          <t>7 (total_enviadas, total_leidas, tasa_apertura_pct, tiempo_medio_min, costo_total...)</t>
        </is>
      </c>
      <c r="E271" s="15" t="inlineStr">
        <is>
          <t>Medio</t>
        </is>
      </c>
      <c r="F271" s="13" t="n">
        <v>5</v>
      </c>
    </row>
    <row r="272" ht="21" customHeight="1">
      <c r="A272" s="29" t="inlineStr">
        <is>
          <t>Subtotal EO (notificaciones):</t>
        </is>
      </c>
      <c r="B272" s="30" t="n"/>
      <c r="C272" s="30" t="n"/>
      <c r="D272" s="30" t="n"/>
      <c r="E272" s="30" t="n"/>
      <c r="F272" s="31">
        <f>SUM(F271:F271)</f>
        <v/>
      </c>
    </row>
    <row r="273" ht="22" customHeight="1">
      <c r="A273" s="25" t="inlineStr">
        <is>
          <t>Tabla 3. Peticiones (EQ) - Tabla: notificaciones</t>
        </is>
      </c>
    </row>
    <row r="274" ht="22" customHeight="1">
      <c r="A274" s="11" t="inlineStr">
        <is>
          <t>Num.</t>
        </is>
      </c>
      <c r="B274" s="11" t="inlineStr">
        <is>
          <t>Peticion (Consulta Directa)</t>
        </is>
      </c>
      <c r="C274" s="11" t="inlineStr">
        <is>
          <t>Archivos referidos (FTR)</t>
        </is>
      </c>
      <c r="D274" s="11" t="inlineStr">
        <is>
          <t>Elementos de datos (DET)</t>
        </is>
      </c>
      <c r="E274" s="11" t="inlineStr">
        <is>
          <t>Nivel</t>
        </is>
      </c>
      <c r="F274" s="11" t="inlineStr">
        <is>
          <t>Valor</t>
        </is>
      </c>
    </row>
    <row r="275" ht="20" customHeight="1">
      <c r="A275" s="15" t="n">
        <v>1</v>
      </c>
      <c r="B275" s="14" t="inlineStr">
        <is>
          <t>Bandeja de Notificaciones Activas del Usuario (Campana In-App)</t>
        </is>
      </c>
      <c r="C275" s="15" t="inlineStr">
        <is>
          <t>1 (notificaciones)</t>
        </is>
      </c>
      <c r="D275" s="15" t="inlineStr">
        <is>
          <t>5 (id_notificacion, mensaje, tipo_alerta, leida, fecha_envio)</t>
        </is>
      </c>
      <c r="E275" s="15" t="inlineStr">
        <is>
          <t>Bajo</t>
        </is>
      </c>
      <c r="F275" s="13" t="n">
        <v>3</v>
      </c>
    </row>
    <row r="276" ht="21" customHeight="1">
      <c r="A276" s="29" t="inlineStr">
        <is>
          <t>Subtotal EQ (notificaciones):</t>
        </is>
      </c>
      <c r="B276" s="30" t="n"/>
      <c r="C276" s="30" t="n"/>
      <c r="D276" s="30" t="n"/>
      <c r="E276" s="30" t="n"/>
      <c r="F276" s="31">
        <f>SUM(F275:F275)</f>
        <v/>
      </c>
    </row>
    <row r="277" ht="22" customHeight="1">
      <c r="A277" s="25" t="inlineStr">
        <is>
          <t>Tabla 4. Archivos Internos (ILF) - Tabla: notificaciones</t>
        </is>
      </c>
    </row>
    <row r="278" ht="22" customHeight="1">
      <c r="A278" s="11" t="inlineStr">
        <is>
          <t>Num.</t>
        </is>
      </c>
      <c r="B278" s="11" t="inlineStr">
        <is>
          <t>Archivo / Tabla Interna</t>
        </is>
      </c>
      <c r="C278" s="11" t="inlineStr">
        <is>
          <t>Elementos de registro (RET)</t>
        </is>
      </c>
      <c r="D278" s="11" t="inlineStr">
        <is>
          <t>Elementos de datos (DET)</t>
        </is>
      </c>
      <c r="E278" s="11" t="inlineStr">
        <is>
          <t>Nivel</t>
        </is>
      </c>
      <c r="F278" s="11" t="inlineStr">
        <is>
          <t>Valor</t>
        </is>
      </c>
    </row>
    <row r="279" ht="20" customHeight="1">
      <c r="A279" s="15" t="n">
        <v>1</v>
      </c>
      <c r="B279" s="14" t="inlineStr">
        <is>
          <t>Tabla: notificaciones (Registro transaccional de alertas operativas, pedidos y avisos)</t>
        </is>
      </c>
      <c r="C279" s="15" t="inlineStr">
        <is>
          <t>1 (Registro Notificacion)</t>
        </is>
      </c>
      <c r="D279" s="15" t="inlineStr">
        <is>
          <t>7 (id_notificacion, id_usuario, telefono, mensaje, tipo, canal, fecha)</t>
        </is>
      </c>
      <c r="E279" s="15" t="inlineStr">
        <is>
          <t>Bajo</t>
        </is>
      </c>
      <c r="F279" s="13" t="n">
        <v>7</v>
      </c>
    </row>
    <row r="280" ht="21" customHeight="1">
      <c r="A280" s="29" t="inlineStr">
        <is>
          <t>Subtotal ILF (notificaciones):</t>
        </is>
      </c>
      <c r="B280" s="30" t="n"/>
      <c r="C280" s="30" t="n"/>
      <c r="D280" s="30" t="n"/>
      <c r="E280" s="30" t="n"/>
      <c r="F280" s="31">
        <f>SUM(F279:F279)</f>
        <v/>
      </c>
    </row>
    <row r="281" ht="22" customHeight="1">
      <c r="A281" s="25" t="inlineStr">
        <is>
          <t>Tabla 5. Archivos Externos (EIF) - Tabla: notificaciones</t>
        </is>
      </c>
    </row>
    <row r="282" ht="22" customHeight="1">
      <c r="A282" s="11" t="inlineStr">
        <is>
          <t>Num.</t>
        </is>
      </c>
      <c r="B282" s="11" t="inlineStr">
        <is>
          <t>Archivo / Interfaz Externa</t>
        </is>
      </c>
      <c r="C282" s="11" t="inlineStr">
        <is>
          <t>Elementos de registro (RET)</t>
        </is>
      </c>
      <c r="D282" s="11" t="inlineStr">
        <is>
          <t>Elementos de datos (DET)</t>
        </is>
      </c>
      <c r="E282" s="11" t="inlineStr">
        <is>
          <t>Nivel</t>
        </is>
      </c>
      <c r="F282" s="11" t="inlineStr">
        <is>
          <t>Valor</t>
        </is>
      </c>
    </row>
    <row r="283" ht="20" customHeight="1">
      <c r="A283" s="15" t="n">
        <v>1</v>
      </c>
      <c r="B283" s="14" t="inlineStr">
        <is>
          <t>Servicio de Notificaciones Push Web (Firebase Cloud Messaging - FCM API)</t>
        </is>
      </c>
      <c r="C283" s="15" t="inlineStr">
        <is>
          <t>1 (Mensaje Push)</t>
        </is>
      </c>
      <c r="D283" s="15" t="inlineStr">
        <is>
          <t>5 (fcm_id, device_token, priority, delivery_status, error_code)</t>
        </is>
      </c>
      <c r="E283" s="15" t="inlineStr">
        <is>
          <t>Bajo</t>
        </is>
      </c>
      <c r="F283" s="13" t="n">
        <v>5</v>
      </c>
    </row>
    <row r="284" ht="21" customHeight="1">
      <c r="A284" s="29" t="inlineStr">
        <is>
          <t>Subtotal EIF (notificaciones):</t>
        </is>
      </c>
      <c r="B284" s="30" t="n"/>
      <c r="C284" s="30" t="n"/>
      <c r="D284" s="30" t="n"/>
      <c r="E284" s="30" t="n"/>
      <c r="F284" s="31">
        <f>SUM(F283:F283)</f>
        <v/>
      </c>
    </row>
    <row r="285" ht="24" customHeight="1">
      <c r="A285" s="18" t="inlineStr">
        <is>
          <t>TOTAL PUNTOS DE FUNCION TABLA 11: NOTIFICACIONES:</t>
        </is>
      </c>
      <c r="B285" s="19" t="n"/>
      <c r="C285" s="19" t="n"/>
      <c r="D285" s="19" t="n"/>
      <c r="E285" s="19" t="n"/>
      <c r="F285" s="20">
        <f>F268+F272+F276+F280+F284</f>
        <v/>
      </c>
    </row>
    <row r="287" ht="28" customHeight="1">
      <c r="A287" s="24" t="inlineStr">
        <is>
          <t>TABLA 12: BITACORA_SEGURIDAD (AUDITORIA INFORMATICA Y CIBERSEGURIDAD)</t>
        </is>
      </c>
    </row>
    <row r="288" ht="22" customHeight="1">
      <c r="A288" s="25" t="inlineStr">
        <is>
          <t>Tabla 1. Entradas (EI) - Tabla: bitacora_seguridad</t>
        </is>
      </c>
    </row>
    <row r="289" ht="22" customHeight="1">
      <c r="A289" s="11" t="inlineStr">
        <is>
          <t>Num.</t>
        </is>
      </c>
      <c r="B289" s="11" t="inlineStr">
        <is>
          <t>Entrada / Transaccion</t>
        </is>
      </c>
      <c r="C289" s="11" t="inlineStr">
        <is>
          <t>Archivos referidos (FTR)</t>
        </is>
      </c>
      <c r="D289" s="11" t="inlineStr">
        <is>
          <t>Elementos de datos (DET)</t>
        </is>
      </c>
      <c r="E289" s="11" t="inlineStr">
        <is>
          <t>Nivel</t>
        </is>
      </c>
      <c r="F289" s="11" t="inlineStr">
        <is>
          <t>Valor</t>
        </is>
      </c>
    </row>
    <row r="290" ht="20" customHeight="1">
      <c r="A290" s="15" t="n">
        <v>1</v>
      </c>
      <c r="B290" s="14" t="inlineStr">
        <is>
          <t>Registrar Evento de Seguridad y Acceso (Alta de Log)</t>
        </is>
      </c>
      <c r="C290" s="15" t="inlineStr">
        <is>
          <t>2 (bitacora_seguridad, usuarios)</t>
        </is>
      </c>
      <c r="D290" s="15" t="inlineStr">
        <is>
          <t>6 (id_usuario, ip_origen, accion, intentos, user_agent, fecha)</t>
        </is>
      </c>
      <c r="E290" s="15" t="inlineStr">
        <is>
          <t>Medio</t>
        </is>
      </c>
      <c r="F290" s="13" t="n">
        <v>4</v>
      </c>
    </row>
    <row r="291" ht="20" customHeight="1">
      <c r="A291" s="26" t="n">
        <v>2</v>
      </c>
      <c r="B291" s="27" t="inlineStr">
        <is>
          <t>Actualizar Estado de Bloqueo de IP Sospechosa (Modificacion)</t>
        </is>
      </c>
      <c r="C291" s="26" t="inlineStr">
        <is>
          <t>1 (bitacora_seguridad)</t>
        </is>
      </c>
      <c r="D291" s="26" t="inlineStr">
        <is>
          <t>4 (id_bitacora, intentos_bloqueo, ip_bloqueada, motivo)</t>
        </is>
      </c>
      <c r="E291" s="26" t="inlineStr">
        <is>
          <t>Bajo</t>
        </is>
      </c>
      <c r="F291" s="28" t="n">
        <v>3</v>
      </c>
    </row>
    <row r="292" ht="20" customHeight="1">
      <c r="A292" s="15" t="n">
        <v>3</v>
      </c>
      <c r="B292" s="14" t="inlineStr">
        <is>
          <t>Purgar Registros Fuera de Retencion Legal (Baja)</t>
        </is>
      </c>
      <c r="C292" s="15" t="inlineStr">
        <is>
          <t>1 (bitacora_seguridad)</t>
        </is>
      </c>
      <c r="D292" s="15" t="inlineStr">
        <is>
          <t>2 (id_bitacora, fecha)</t>
        </is>
      </c>
      <c r="E292" s="15" t="inlineStr">
        <is>
          <t>Bajo</t>
        </is>
      </c>
      <c r="F292" s="13" t="n">
        <v>3</v>
      </c>
    </row>
    <row r="293" ht="21" customHeight="1">
      <c r="A293" s="29" t="inlineStr">
        <is>
          <t>Subtotal EI (bitacora_seguridad):</t>
        </is>
      </c>
      <c r="B293" s="30" t="n"/>
      <c r="C293" s="30" t="n"/>
      <c r="D293" s="30" t="n"/>
      <c r="E293" s="30" t="n"/>
      <c r="F293" s="31">
        <f>SUM(F290:F292)</f>
        <v/>
      </c>
    </row>
    <row r="294" ht="22" customHeight="1">
      <c r="A294" s="25" t="inlineStr">
        <is>
          <t>Tabla 2. Salidas (EO) - Tabla: bitacora_seguridad</t>
        </is>
      </c>
    </row>
    <row r="295" ht="22" customHeight="1">
      <c r="A295" s="11" t="inlineStr">
        <is>
          <t>Num.</t>
        </is>
      </c>
      <c r="B295" s="11" t="inlineStr">
        <is>
          <t>Salida (Reporte con Calculos)</t>
        </is>
      </c>
      <c r="C295" s="11" t="inlineStr">
        <is>
          <t>Archivos referidos (FTR)</t>
        </is>
      </c>
      <c r="D295" s="11" t="inlineStr">
        <is>
          <t>Elementos de datos (DET)</t>
        </is>
      </c>
      <c r="E295" s="11" t="inlineStr">
        <is>
          <t>Nivel</t>
        </is>
      </c>
      <c r="F295" s="11" t="inlineStr">
        <is>
          <t>Valor</t>
        </is>
      </c>
    </row>
    <row r="296" ht="20" customHeight="1">
      <c r="A296" s="15" t="n">
        <v>1</v>
      </c>
      <c r="B296" s="14" t="inlineStr">
        <is>
          <t>Indice Heuristico de Amenazas e Intentos de Intrusion (Calculo de ataques por hora, tasa de IP hostiles y bloqueos)</t>
        </is>
      </c>
      <c r="C296" s="15" t="inlineStr">
        <is>
          <t>2 (bitacora_seguridad, usuarios)</t>
        </is>
      </c>
      <c r="D296" s="15" t="inlineStr">
        <is>
          <t>8 (total_eventos, ips_bloqueadas, ataques_fuerza_bruta, eventos_por_hora, indice_amenaza...)</t>
        </is>
      </c>
      <c r="E296" s="15" t="inlineStr">
        <is>
          <t>Medio</t>
        </is>
      </c>
      <c r="F296" s="13" t="n">
        <v>5</v>
      </c>
    </row>
    <row r="297" ht="21" customHeight="1">
      <c r="A297" s="29" t="inlineStr">
        <is>
          <t>Subtotal EO (bitacora_seguridad):</t>
        </is>
      </c>
      <c r="B297" s="30" t="n"/>
      <c r="C297" s="30" t="n"/>
      <c r="D297" s="30" t="n"/>
      <c r="E297" s="30" t="n"/>
      <c r="F297" s="31">
        <f>SUM(F296:F296)</f>
        <v/>
      </c>
    </row>
    <row r="298" ht="22" customHeight="1">
      <c r="A298" s="25" t="inlineStr">
        <is>
          <t>Tabla 3. Peticiones (EQ) - Tabla: bitacora_seguridad</t>
        </is>
      </c>
    </row>
    <row r="299" ht="22" customHeight="1">
      <c r="A299" s="11" t="inlineStr">
        <is>
          <t>Num.</t>
        </is>
      </c>
      <c r="B299" s="11" t="inlineStr">
        <is>
          <t>Peticion (Consulta Directa)</t>
        </is>
      </c>
      <c r="C299" s="11" t="inlineStr">
        <is>
          <t>Archivos referidos (FTR)</t>
        </is>
      </c>
      <c r="D299" s="11" t="inlineStr">
        <is>
          <t>Elementos de datos (DET)</t>
        </is>
      </c>
      <c r="E299" s="11" t="inlineStr">
        <is>
          <t>Nivel</t>
        </is>
      </c>
      <c r="F299" s="11" t="inlineStr">
        <is>
          <t>Valor</t>
        </is>
      </c>
    </row>
    <row r="300" ht="20" customHeight="1">
      <c r="A300" s="15" t="n">
        <v>1</v>
      </c>
      <c r="B300" s="14" t="inlineStr">
        <is>
          <t>Consulta de Historial de Eventos de Seguridad y Accesos Sospechosos</t>
        </is>
      </c>
      <c r="C300" s="15" t="inlineStr">
        <is>
          <t>2 (bitacora_seguridad, usuarios)</t>
        </is>
      </c>
      <c r="D300" s="15" t="inlineStr">
        <is>
          <t>6 (id_bitacora, usuario_nombre, ip_origen, accion, intentos, fecha)</t>
        </is>
      </c>
      <c r="E300" s="15" t="inlineStr">
        <is>
          <t>Medio</t>
        </is>
      </c>
      <c r="F300" s="13" t="n">
        <v>4</v>
      </c>
    </row>
    <row r="301" ht="21" customHeight="1">
      <c r="A301" s="29" t="inlineStr">
        <is>
          <t>Subtotal EQ (bitacora_seguridad):</t>
        </is>
      </c>
      <c r="B301" s="30" t="n"/>
      <c r="C301" s="30" t="n"/>
      <c r="D301" s="30" t="n"/>
      <c r="E301" s="30" t="n"/>
      <c r="F301" s="31">
        <f>SUM(F300:F300)</f>
        <v/>
      </c>
    </row>
    <row r="302" ht="22" customHeight="1">
      <c r="A302" s="25" t="inlineStr">
        <is>
          <t>Tabla 4. Archivos Internos (ILF) - Tabla: bitacora_seguridad</t>
        </is>
      </c>
    </row>
    <row r="303" ht="22" customHeight="1">
      <c r="A303" s="11" t="inlineStr">
        <is>
          <t>Num.</t>
        </is>
      </c>
      <c r="B303" s="11" t="inlineStr">
        <is>
          <t>Archivo / Tabla Interna</t>
        </is>
      </c>
      <c r="C303" s="11" t="inlineStr">
        <is>
          <t>Elementos de registro (RET)</t>
        </is>
      </c>
      <c r="D303" s="11" t="inlineStr">
        <is>
          <t>Elementos de datos (DET)</t>
        </is>
      </c>
      <c r="E303" s="11" t="inlineStr">
        <is>
          <t>Nivel</t>
        </is>
      </c>
      <c r="F303" s="11" t="inlineStr">
        <is>
          <t>Valor</t>
        </is>
      </c>
    </row>
    <row r="304" ht="20" customHeight="1">
      <c r="A304" s="15" t="n">
        <v>1</v>
      </c>
      <c r="B304" s="14" t="inlineStr">
        <is>
          <t>Tabla: bitacora_seguridad (Almacen inmutable de eventos de auditoria y seguridad)</t>
        </is>
      </c>
      <c r="C304" s="15" t="inlineStr">
        <is>
          <t>1 (Registro Auditoria)</t>
        </is>
      </c>
      <c r="D304" s="15" t="inlineStr">
        <is>
          <t>6 (id_bitacora, id_usuario, ip_origen, accion, intentos_bloqueo, fecha)</t>
        </is>
      </c>
      <c r="E304" s="15" t="inlineStr">
        <is>
          <t>Bajo</t>
        </is>
      </c>
      <c r="F304" s="13" t="n">
        <v>7</v>
      </c>
    </row>
    <row r="305" ht="21" customHeight="1">
      <c r="A305" s="29" t="inlineStr">
        <is>
          <t>Subtotal ILF (bitacora_seguridad):</t>
        </is>
      </c>
      <c r="B305" s="30" t="n"/>
      <c r="C305" s="30" t="n"/>
      <c r="D305" s="30" t="n"/>
      <c r="E305" s="30" t="n"/>
      <c r="F305" s="31">
        <f>SUM(F304:F304)</f>
        <v/>
      </c>
    </row>
    <row r="306" ht="22" customHeight="1">
      <c r="A306" s="25" t="inlineStr">
        <is>
          <t>Tabla 5. Archivos Externos (EIF) - Tabla: bitacora_seguridad</t>
        </is>
      </c>
    </row>
    <row r="307" ht="22" customHeight="1">
      <c r="A307" s="11" t="inlineStr">
        <is>
          <t>Num.</t>
        </is>
      </c>
      <c r="B307" s="11" t="inlineStr">
        <is>
          <t>Archivo / Interfaz Externa</t>
        </is>
      </c>
      <c r="C307" s="11" t="inlineStr">
        <is>
          <t>Elementos de registro (RET)</t>
        </is>
      </c>
      <c r="D307" s="11" t="inlineStr">
        <is>
          <t>Elementos de datos (DET)</t>
        </is>
      </c>
      <c r="E307" s="11" t="inlineStr">
        <is>
          <t>Nivel</t>
        </is>
      </c>
      <c r="F307" s="11" t="inlineStr">
        <is>
          <t>Valor</t>
        </is>
      </c>
    </row>
    <row r="308" ht="20" customHeight="1">
      <c r="A308" s="15" t="n">
        <v>1</v>
      </c>
      <c r="B308" s="14" t="inlineStr">
        <is>
          <t>Base de Datos de Inteligencia de Amenazas y GeoIP (MaxMind GeoIP2 / AbuseIPDB)</t>
        </is>
      </c>
      <c r="C308" s="15" t="inlineStr">
        <is>
          <t>1 (Reporte IP)</t>
        </is>
      </c>
      <c r="D308" s="15" t="inlineStr">
        <is>
          <t>5 (ip_address, country_iso, threat_score, is_vpn, reports_count)</t>
        </is>
      </c>
      <c r="E308" s="15" t="inlineStr">
        <is>
          <t>Bajo</t>
        </is>
      </c>
      <c r="F308" s="13" t="n">
        <v>5</v>
      </c>
    </row>
    <row r="309" ht="21" customHeight="1">
      <c r="A309" s="29" t="inlineStr">
        <is>
          <t>Subtotal EIF (bitacora_seguridad):</t>
        </is>
      </c>
      <c r="B309" s="30" t="n"/>
      <c r="C309" s="30" t="n"/>
      <c r="D309" s="30" t="n"/>
      <c r="E309" s="30" t="n"/>
      <c r="F309" s="31">
        <f>SUM(F308:F308)</f>
        <v/>
      </c>
    </row>
    <row r="310" ht="24" customHeight="1">
      <c r="A310" s="18" t="inlineStr">
        <is>
          <t>TOTAL PUNTOS DE FUNCION TABLA 12: BITACORA_SEGURIDAD:</t>
        </is>
      </c>
      <c r="B310" s="19" t="n"/>
      <c r="C310" s="19" t="n"/>
      <c r="D310" s="19" t="n"/>
      <c r="E310" s="19" t="n"/>
      <c r="F310" s="20">
        <f>F293+F297+F301+F305+F309</f>
        <v/>
      </c>
    </row>
    <row r="312" ht="28" customHeight="1">
      <c r="A312" s="24" t="inlineStr">
        <is>
          <t>TABLA 13: CONTROL_SUSPENSIONES (MODERACION Y SANCIONES DISCIPLINARIAS)</t>
        </is>
      </c>
    </row>
    <row r="313" ht="22" customHeight="1">
      <c r="A313" s="25" t="inlineStr">
        <is>
          <t>Tabla 1. Entradas (EI) - Tabla: control_suspensiones</t>
        </is>
      </c>
    </row>
    <row r="314" ht="22" customHeight="1">
      <c r="A314" s="11" t="inlineStr">
        <is>
          <t>Num.</t>
        </is>
      </c>
      <c r="B314" s="11" t="inlineStr">
        <is>
          <t>Entrada / Transaccion</t>
        </is>
      </c>
      <c r="C314" s="11" t="inlineStr">
        <is>
          <t>Archivos referidos (FTR)</t>
        </is>
      </c>
      <c r="D314" s="11" t="inlineStr">
        <is>
          <t>Elementos de datos (DET)</t>
        </is>
      </c>
      <c r="E314" s="11" t="inlineStr">
        <is>
          <t>Nivel</t>
        </is>
      </c>
      <c r="F314" s="11" t="inlineStr">
        <is>
          <t>Valor</t>
        </is>
      </c>
    </row>
    <row r="315" ht="20" customHeight="1">
      <c r="A315" s="15" t="n">
        <v>1</v>
      </c>
      <c r="B315" s="14" t="inlineStr">
        <is>
          <t>Registrar Suspension de Cuenta o Producto (Alta de Sancion)</t>
        </is>
      </c>
      <c r="C315" s="15" t="inlineStr">
        <is>
          <t>3 (control_suspensiones, usuarios, productos)</t>
        </is>
      </c>
      <c r="D315" s="15" t="inlineStr">
        <is>
          <t>7 (id_entidad, tipo, motivo, suspendido_por, fecha_sus, reactivacion, estado)</t>
        </is>
      </c>
      <c r="E315" s="15" t="inlineStr">
        <is>
          <t>Alto</t>
        </is>
      </c>
      <c r="F315" s="13" t="n">
        <v>6</v>
      </c>
    </row>
    <row r="316" ht="20" customHeight="1">
      <c r="A316" s="26" t="n">
        <v>2</v>
      </c>
      <c r="B316" s="27" t="inlineStr">
        <is>
          <t>Modificar Dictamen o Prorrogar Sancion (Modificacion)</t>
        </is>
      </c>
      <c r="C316" s="26" t="inlineStr">
        <is>
          <t>2 (control_suspensiones, usuarios)</t>
        </is>
      </c>
      <c r="D316" s="26" t="inlineStr">
        <is>
          <t>5 (id_suspension, motivo, fecha_reactivacion, estado, notas)</t>
        </is>
      </c>
      <c r="E316" s="26" t="inlineStr">
        <is>
          <t>Medio</t>
        </is>
      </c>
      <c r="F316" s="28" t="n">
        <v>4</v>
      </c>
    </row>
    <row r="317" ht="20" customHeight="1">
      <c r="A317" s="15" t="n">
        <v>3</v>
      </c>
      <c r="B317" s="14" t="inlineStr">
        <is>
          <t>Reactivar Entidad y Levantar Suspension (Baja de Sancion)</t>
        </is>
      </c>
      <c r="C317" s="15" t="inlineStr">
        <is>
          <t>3 (control_suspensiones, usuarios, productos)</t>
        </is>
      </c>
      <c r="D317" s="15" t="inlineStr">
        <is>
          <t>3 (id_suspension, estado, fecha_reactivacion)</t>
        </is>
      </c>
      <c r="E317" s="15" t="inlineStr">
        <is>
          <t>Bajo</t>
        </is>
      </c>
      <c r="F317" s="13" t="n">
        <v>3</v>
      </c>
    </row>
    <row r="318" ht="21" customHeight="1">
      <c r="A318" s="29" t="inlineStr">
        <is>
          <t>Subtotal EI (control_suspensiones):</t>
        </is>
      </c>
      <c r="B318" s="30" t="n"/>
      <c r="C318" s="30" t="n"/>
      <c r="D318" s="30" t="n"/>
      <c r="E318" s="30" t="n"/>
      <c r="F318" s="31">
        <f>SUM(F315:F317)</f>
        <v/>
      </c>
    </row>
    <row r="319" ht="22" customHeight="1">
      <c r="A319" s="25" t="inlineStr">
        <is>
          <t>Tabla 2. Salidas (EO) - Tabla: control_suspensiones</t>
        </is>
      </c>
    </row>
    <row r="320" ht="22" customHeight="1">
      <c r="A320" s="11" t="inlineStr">
        <is>
          <t>Num.</t>
        </is>
      </c>
      <c r="B320" s="11" t="inlineStr">
        <is>
          <t>Salida (Reporte con Calculos)</t>
        </is>
      </c>
      <c r="C320" s="11" t="inlineStr">
        <is>
          <t>Archivos referidos (FTR)</t>
        </is>
      </c>
      <c r="D320" s="11" t="inlineStr">
        <is>
          <t>Elementos de datos (DET)</t>
        </is>
      </c>
      <c r="E320" s="11" t="inlineStr">
        <is>
          <t>Nivel</t>
        </is>
      </c>
      <c r="F320" s="11" t="inlineStr">
        <is>
          <t>Valor</t>
        </is>
      </c>
    </row>
    <row r="321" ht="20" customHeight="1">
      <c r="A321" s="15" t="n">
        <v>1</v>
      </c>
      <c r="B321" s="14" t="inlineStr">
        <is>
          <t>Balance de Cumplimiento y Sanciones Disciplinarias (Calculo de tasa de reincidencia [(reincidentes/total)*100] y dias promedio)</t>
        </is>
      </c>
      <c r="C321" s="15" t="inlineStr">
        <is>
          <t>3 (control_suspensiones, usuarios, productos)</t>
        </is>
      </c>
      <c r="D321" s="15" t="inlineStr">
        <is>
          <t>7 (total_suspensiones, cuentas_sancionadas, productos_retirados, reincidencia_pct, dias_promedio...)</t>
        </is>
      </c>
      <c r="E321" s="15" t="inlineStr">
        <is>
          <t>Medio</t>
        </is>
      </c>
      <c r="F321" s="13" t="n">
        <v>5</v>
      </c>
    </row>
    <row r="322" ht="21" customHeight="1">
      <c r="A322" s="29" t="inlineStr">
        <is>
          <t>Subtotal EO (control_suspensiones):</t>
        </is>
      </c>
      <c r="B322" s="30" t="n"/>
      <c r="C322" s="30" t="n"/>
      <c r="D322" s="30" t="n"/>
      <c r="E322" s="30" t="n"/>
      <c r="F322" s="31">
        <f>SUM(F321:F321)</f>
        <v/>
      </c>
    </row>
    <row r="323" ht="22" customHeight="1">
      <c r="A323" s="25" t="inlineStr">
        <is>
          <t>Tabla 3. Peticiones (EQ) - Tabla: control_suspensiones</t>
        </is>
      </c>
    </row>
    <row r="324" ht="22" customHeight="1">
      <c r="A324" s="11" t="inlineStr">
        <is>
          <t>Num.</t>
        </is>
      </c>
      <c r="B324" s="11" t="inlineStr">
        <is>
          <t>Peticion (Consulta Directa)</t>
        </is>
      </c>
      <c r="C324" s="11" t="inlineStr">
        <is>
          <t>Archivos referidos (FTR)</t>
        </is>
      </c>
      <c r="D324" s="11" t="inlineStr">
        <is>
          <t>Elementos de datos (DET)</t>
        </is>
      </c>
      <c r="E324" s="11" t="inlineStr">
        <is>
          <t>Nivel</t>
        </is>
      </c>
      <c r="F324" s="11" t="inlineStr">
        <is>
          <t>Valor</t>
        </is>
      </c>
    </row>
    <row r="325" ht="20" customHeight="1">
      <c r="A325" s="15" t="n">
        <v>1</v>
      </c>
      <c r="B325" s="14" t="inlineStr">
        <is>
          <t>Consulta de Expediente de Sancion por Entidad (Usuario o Producto)</t>
        </is>
      </c>
      <c r="C325" s="15" t="inlineStr">
        <is>
          <t>2 (control_suspensiones, usuarios)</t>
        </is>
      </c>
      <c r="D325" s="15" t="inlineStr">
        <is>
          <t>6 (id_suspension, id_entidad, tipo_entidad, motivo, admin, estado)</t>
        </is>
      </c>
      <c r="E325" s="15" t="inlineStr">
        <is>
          <t>Medio</t>
        </is>
      </c>
      <c r="F325" s="13" t="n">
        <v>4</v>
      </c>
    </row>
    <row r="326" ht="20" customHeight="1">
      <c r="A326" s="26" t="n">
        <v>2</v>
      </c>
      <c r="B326" s="27" t="inlineStr">
        <is>
          <t>Padron General de Cuentas y Publicaciones Suspendidas</t>
        </is>
      </c>
      <c r="C326" s="26" t="inlineStr">
        <is>
          <t>2 (control_suspensiones, usuarios)</t>
        </is>
      </c>
      <c r="D326" s="26" t="inlineStr">
        <is>
          <t>5 (id_suspension, tipo_entidad, motivo, fecha_suspension, estado)</t>
        </is>
      </c>
      <c r="E326" s="26" t="inlineStr">
        <is>
          <t>Bajo</t>
        </is>
      </c>
      <c r="F326" s="28" t="n">
        <v>3</v>
      </c>
    </row>
    <row r="327" ht="21" customHeight="1">
      <c r="A327" s="29" t="inlineStr">
        <is>
          <t>Subtotal EQ (control_suspensiones):</t>
        </is>
      </c>
      <c r="B327" s="30" t="n"/>
      <c r="C327" s="30" t="n"/>
      <c r="D327" s="30" t="n"/>
      <c r="E327" s="30" t="n"/>
      <c r="F327" s="31">
        <f>SUM(F325:F326)</f>
        <v/>
      </c>
    </row>
    <row r="328" ht="22" customHeight="1">
      <c r="A328" s="25" t="inlineStr">
        <is>
          <t>Tabla 4. Archivos Internos (ILF) - Tabla: control_suspensiones</t>
        </is>
      </c>
    </row>
    <row r="329" ht="22" customHeight="1">
      <c r="A329" s="11" t="inlineStr">
        <is>
          <t>Num.</t>
        </is>
      </c>
      <c r="B329" s="11" t="inlineStr">
        <is>
          <t>Archivo / Tabla Interna</t>
        </is>
      </c>
      <c r="C329" s="11" t="inlineStr">
        <is>
          <t>Elementos de registro (RET)</t>
        </is>
      </c>
      <c r="D329" s="11" t="inlineStr">
        <is>
          <t>Elementos de datos (DET)</t>
        </is>
      </c>
      <c r="E329" s="11" t="inlineStr">
        <is>
          <t>Nivel</t>
        </is>
      </c>
      <c r="F329" s="11" t="inlineStr">
        <is>
          <t>Valor</t>
        </is>
      </c>
    </row>
    <row r="330" ht="20" customHeight="1">
      <c r="A330" s="15" t="n">
        <v>1</v>
      </c>
      <c r="B330" s="14" t="inlineStr">
        <is>
          <t>Tabla: control_suspensiones (Registro formal de medidas disciplinarias y moderacion de contenido)</t>
        </is>
      </c>
      <c r="C330" s="15" t="inlineStr">
        <is>
          <t>1 (Registro Sancion)</t>
        </is>
      </c>
      <c r="D330" s="15" t="inlineStr">
        <is>
          <t>7 (id_suspension, id_entidad, tipo, motivo, suspendido_por, fecha, estado)</t>
        </is>
      </c>
      <c r="E330" s="15" t="inlineStr">
        <is>
          <t>Bajo</t>
        </is>
      </c>
      <c r="F330" s="13" t="n">
        <v>7</v>
      </c>
    </row>
    <row r="331" ht="21" customHeight="1">
      <c r="A331" s="29" t="inlineStr">
        <is>
          <t>Subtotal ILF (control_suspensiones):</t>
        </is>
      </c>
      <c r="B331" s="30" t="n"/>
      <c r="C331" s="30" t="n"/>
      <c r="D331" s="30" t="n"/>
      <c r="E331" s="30" t="n"/>
      <c r="F331" s="31">
        <f>SUM(F330:F330)</f>
        <v/>
      </c>
    </row>
    <row r="332" ht="22" customHeight="1">
      <c r="A332" s="25" t="inlineStr">
        <is>
          <t>Tabla 5. Archivos Externos (EIF) - Tabla: control_suspensiones</t>
        </is>
      </c>
    </row>
    <row r="333" ht="22" customHeight="1">
      <c r="A333" s="11" t="inlineStr">
        <is>
          <t>Num.</t>
        </is>
      </c>
      <c r="B333" s="11" t="inlineStr">
        <is>
          <t>Archivo / Interfaz Externa</t>
        </is>
      </c>
      <c r="C333" s="11" t="inlineStr">
        <is>
          <t>Elementos de registro (RET)</t>
        </is>
      </c>
      <c r="D333" s="11" t="inlineStr">
        <is>
          <t>Elementos de datos (DET)</t>
        </is>
      </c>
      <c r="E333" s="11" t="inlineStr">
        <is>
          <t>Nivel</t>
        </is>
      </c>
      <c r="F333" s="11" t="inlineStr">
        <is>
          <t>Valor</t>
        </is>
      </c>
    </row>
    <row r="334" ht="20" customHeight="1">
      <c r="A334" s="15" t="n">
        <v>1</v>
      </c>
      <c r="B334" s="14" t="inlineStr">
        <is>
          <t>Padron Externo de Cumplimiento Normativo y Listas Negras (OFAC / Buro Antifraude)</t>
        </is>
      </c>
      <c r="C334" s="15" t="inlineStr">
        <is>
          <t>1 (Entidad Listada)</t>
        </is>
      </c>
      <c r="D334" s="15" t="inlineStr">
        <is>
          <t>5 (entity_id, risk_level, sanction_category, jurisdiction, compliance_status)</t>
        </is>
      </c>
      <c r="E334" s="15" t="inlineStr">
        <is>
          <t>Bajo</t>
        </is>
      </c>
      <c r="F334" s="13" t="n">
        <v>5</v>
      </c>
    </row>
    <row r="335" ht="21" customHeight="1">
      <c r="A335" s="29" t="inlineStr">
        <is>
          <t>Subtotal EIF (control_suspensiones):</t>
        </is>
      </c>
      <c r="B335" s="30" t="n"/>
      <c r="C335" s="30" t="n"/>
      <c r="D335" s="30" t="n"/>
      <c r="E335" s="30" t="n"/>
      <c r="F335" s="31">
        <f>SUM(F334:F334)</f>
        <v/>
      </c>
    </row>
    <row r="336" ht="24" customHeight="1">
      <c r="A336" s="18" t="inlineStr">
        <is>
          <t>TOTAL PUNTOS DE FUNCION TABLA 13: CONTROL_SUSPENSIONES:</t>
        </is>
      </c>
      <c r="B336" s="19" t="n"/>
      <c r="C336" s="19" t="n"/>
      <c r="D336" s="19" t="n"/>
      <c r="E336" s="19" t="n"/>
      <c r="F336" s="20">
        <f>F318+F322+F327+F331+F335</f>
        <v/>
      </c>
    </row>
    <row r="338" ht="28" customHeight="1">
      <c r="A338" s="18" t="inlineStr">
        <is>
          <t>GRAN TOTAL GENERAL DE PUNTOS DE FUNCION NO AJUSTADOS (13 TABLAS BD):</t>
        </is>
      </c>
      <c r="B338" s="19" t="n"/>
      <c r="C338" s="19" t="n"/>
      <c r="D338" s="19" t="n"/>
      <c r="E338" s="19" t="n"/>
      <c r="F338" s="20">
        <f>F29+F55+F80+F106+F133+F158+F183+F208+F235+F260+F285+F310+F336</f>
        <v/>
      </c>
    </row>
  </sheetData>
  <mergeCells count="159">
    <mergeCell ref="A310:E310"/>
    <mergeCell ref="A166:E166"/>
    <mergeCell ref="A207:E207"/>
    <mergeCell ref="A182:E182"/>
    <mergeCell ref="A238:F238"/>
    <mergeCell ref="A216:E216"/>
    <mergeCell ref="A79:E79"/>
    <mergeCell ref="A47:F47"/>
    <mergeCell ref="A160:F160"/>
    <mergeCell ref="A175:F175"/>
    <mergeCell ref="A5:F5"/>
    <mergeCell ref="A150:F150"/>
    <mergeCell ref="A32:F32"/>
    <mergeCell ref="A128:E128"/>
    <mergeCell ref="A263:F263"/>
    <mergeCell ref="A255:E255"/>
    <mergeCell ref="A37:E37"/>
    <mergeCell ref="A46:E46"/>
    <mergeCell ref="A208:E208"/>
    <mergeCell ref="A72:F72"/>
    <mergeCell ref="A200:F200"/>
    <mergeCell ref="A38:F38"/>
    <mergeCell ref="A105:E105"/>
    <mergeCell ref="A323:F323"/>
    <mergeCell ref="A161:F161"/>
    <mergeCell ref="A272:E272"/>
    <mergeCell ref="A332:F332"/>
    <mergeCell ref="A288:F288"/>
    <mergeCell ref="A247:E247"/>
    <mergeCell ref="A71:E71"/>
    <mergeCell ref="A31:F31"/>
    <mergeCell ref="A58:F58"/>
    <mergeCell ref="A203:E203"/>
    <mergeCell ref="A234:E234"/>
    <mergeCell ref="A64:F64"/>
    <mergeCell ref="A186:F186"/>
    <mergeCell ref="A51:F51"/>
    <mergeCell ref="A82:F82"/>
    <mergeCell ref="A327:E327"/>
    <mergeCell ref="A336:E336"/>
    <mergeCell ref="A63:E63"/>
    <mergeCell ref="A293:E293"/>
    <mergeCell ref="A237:F237"/>
    <mergeCell ref="A16:F16"/>
    <mergeCell ref="A252:F252"/>
    <mergeCell ref="A276:E276"/>
    <mergeCell ref="A277:F277"/>
    <mergeCell ref="A157:E157"/>
    <mergeCell ref="A108:F108"/>
    <mergeCell ref="A284:E284"/>
    <mergeCell ref="A132:E132"/>
    <mergeCell ref="A119:E119"/>
    <mergeCell ref="A294:F294"/>
    <mergeCell ref="A306:F306"/>
    <mergeCell ref="A2:F2"/>
    <mergeCell ref="A204:F204"/>
    <mergeCell ref="A42:F42"/>
    <mergeCell ref="A269:F269"/>
    <mergeCell ref="A183:E183"/>
    <mergeCell ref="A135:F135"/>
    <mergeCell ref="A75:E75"/>
    <mergeCell ref="A133:E133"/>
    <mergeCell ref="A262:F262"/>
    <mergeCell ref="A80:E80"/>
    <mergeCell ref="A125:F125"/>
    <mergeCell ref="A55:E55"/>
    <mergeCell ref="A301:E301"/>
    <mergeCell ref="A331:E331"/>
    <mergeCell ref="A297:E297"/>
    <mergeCell ref="A235:E235"/>
    <mergeCell ref="A167:F167"/>
    <mergeCell ref="A319:F319"/>
    <mergeCell ref="A97:E97"/>
    <mergeCell ref="A106:E106"/>
    <mergeCell ref="A142:F142"/>
    <mergeCell ref="A11:F11"/>
    <mergeCell ref="A29:E29"/>
    <mergeCell ref="A98:F98"/>
    <mergeCell ref="A280:E280"/>
    <mergeCell ref="A170:E170"/>
    <mergeCell ref="A67:E67"/>
    <mergeCell ref="A227:F227"/>
    <mergeCell ref="A338:E338"/>
    <mergeCell ref="A24:E24"/>
    <mergeCell ref="A226:E226"/>
    <mergeCell ref="A217:F217"/>
    <mergeCell ref="A260:E260"/>
    <mergeCell ref="A136:F136"/>
    <mergeCell ref="A154:F154"/>
    <mergeCell ref="A210:F210"/>
    <mergeCell ref="A179:F179"/>
    <mergeCell ref="A124:E124"/>
    <mergeCell ref="A129:F129"/>
    <mergeCell ref="A313:F313"/>
    <mergeCell ref="A76:F76"/>
    <mergeCell ref="A221:E221"/>
    <mergeCell ref="A174:E174"/>
    <mergeCell ref="A244:F244"/>
    <mergeCell ref="A196:F196"/>
    <mergeCell ref="A171:F171"/>
    <mergeCell ref="A149:E149"/>
    <mergeCell ref="A109:F109"/>
    <mergeCell ref="A231:F231"/>
    <mergeCell ref="A158:E158"/>
    <mergeCell ref="A50:E50"/>
    <mergeCell ref="A115:F115"/>
    <mergeCell ref="A93:F93"/>
    <mergeCell ref="A68:F68"/>
    <mergeCell ref="A102:F102"/>
    <mergeCell ref="A83:F83"/>
    <mergeCell ref="A141:E141"/>
    <mergeCell ref="A328:F328"/>
    <mergeCell ref="A20:E20"/>
    <mergeCell ref="A318:E318"/>
    <mergeCell ref="A1:F1"/>
    <mergeCell ref="A28:E28"/>
    <mergeCell ref="A199:E199"/>
    <mergeCell ref="A287:F287"/>
    <mergeCell ref="A281:F281"/>
    <mergeCell ref="A256:F256"/>
    <mergeCell ref="A114:E114"/>
    <mergeCell ref="A15:E15"/>
    <mergeCell ref="A191:E191"/>
    <mergeCell ref="A273:F273"/>
    <mergeCell ref="A89:F89"/>
    <mergeCell ref="A120:F120"/>
    <mergeCell ref="A178:E178"/>
    <mergeCell ref="A21:F21"/>
    <mergeCell ref="A88:E88"/>
    <mergeCell ref="A192:F192"/>
    <mergeCell ref="A248:F248"/>
    <mergeCell ref="A57:F57"/>
    <mergeCell ref="A153:E153"/>
    <mergeCell ref="A302:F302"/>
    <mergeCell ref="A54:E54"/>
    <mergeCell ref="A185:F185"/>
    <mergeCell ref="A298:F298"/>
    <mergeCell ref="A312:F312"/>
    <mergeCell ref="A41:E41"/>
    <mergeCell ref="A268:E268"/>
    <mergeCell ref="A243:E243"/>
    <mergeCell ref="A305:E305"/>
    <mergeCell ref="A335:E335"/>
    <mergeCell ref="A4:F4"/>
    <mergeCell ref="A145:E145"/>
    <mergeCell ref="A285:E285"/>
    <mergeCell ref="A101:E101"/>
    <mergeCell ref="A195:E195"/>
    <mergeCell ref="A251:E251"/>
    <mergeCell ref="A211:F211"/>
    <mergeCell ref="A322:E322"/>
    <mergeCell ref="A309:E309"/>
    <mergeCell ref="A259:E259"/>
    <mergeCell ref="A222:F222"/>
    <mergeCell ref="A10:E10"/>
    <mergeCell ref="A146:F146"/>
    <mergeCell ref="A230:E230"/>
    <mergeCell ref="A25:F25"/>
    <mergeCell ref="A92:E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16" customWidth="1" min="9" max="9"/>
  </cols>
  <sheetData>
    <row r="1" ht="36" customHeight="1">
      <c r="A1" s="1" t="inlineStr">
        <is>
          <t>MATRIZ CONSOLIDADA DE PUNTOS DE FUNCION NO AJUSTADOS (PFNA) - 13 TABLAS</t>
        </is>
      </c>
    </row>
    <row r="2" ht="20" customHeight="1">
      <c r="A2" s="2" t="inlineStr">
        <is>
          <t>Resumen ejecutivo por componente funcional (EI, EO, EQ, ILF, EIF) y peso porcentual de cada tabla</t>
        </is>
      </c>
    </row>
    <row r="4" ht="26" customHeight="1">
      <c r="A4" s="23" t="inlineStr">
        <is>
          <t>Num.</t>
        </is>
      </c>
      <c r="B4" s="23" t="inlineStr">
        <is>
          <t>Tabla de Base de Datos</t>
        </is>
      </c>
      <c r="C4" s="23" t="inlineStr">
        <is>
          <t>Entradas (EI)</t>
        </is>
      </c>
      <c r="D4" s="23" t="inlineStr">
        <is>
          <t>Salidas (EO)</t>
        </is>
      </c>
      <c r="E4" s="23" t="inlineStr">
        <is>
          <t>Peticiones (EQ)</t>
        </is>
      </c>
      <c r="F4" s="23" t="inlineStr">
        <is>
          <t>Archivos Int. (ILF)</t>
        </is>
      </c>
      <c r="G4" s="23" t="inlineStr">
        <is>
          <t>Archivos Ext. (EIF)</t>
        </is>
      </c>
      <c r="H4" s="23" t="inlineStr">
        <is>
          <t>Total PFNA Tabla</t>
        </is>
      </c>
      <c r="I4" s="23" t="inlineStr">
        <is>
          <t>% Participacion</t>
        </is>
      </c>
    </row>
    <row r="5" ht="20" customHeight="1">
      <c r="A5" s="13" t="n">
        <v>1</v>
      </c>
      <c r="B5" s="12" t="inlineStr">
        <is>
          <t>Tabla: usuarios</t>
        </is>
      </c>
      <c r="C5" s="16">
        <f>'Desglose por Tabla (13 Tablas)'!F10</f>
        <v/>
      </c>
      <c r="D5" s="16">
        <f>'Desglose por Tabla (13 Tablas)'!F15</f>
        <v/>
      </c>
      <c r="E5" s="16">
        <f>'Desglose por Tabla (13 Tablas)'!F20</f>
        <v/>
      </c>
      <c r="F5" s="16">
        <f>'Desglose por Tabla (13 Tablas)'!F24</f>
        <v/>
      </c>
      <c r="G5" s="16">
        <f>'Desglose por Tabla (13 Tablas)'!F28</f>
        <v/>
      </c>
      <c r="H5" s="32">
        <f>SUM(C5:G5)</f>
        <v/>
      </c>
      <c r="I5" s="17">
        <f>H5/H18</f>
        <v/>
      </c>
    </row>
    <row r="6" ht="20" customHeight="1">
      <c r="A6" s="28" t="n">
        <v>2</v>
      </c>
      <c r="B6" s="33" t="inlineStr">
        <is>
          <t>Tabla: roles</t>
        </is>
      </c>
      <c r="C6" s="34">
        <f>'Desglose por Tabla (13 Tablas)'!F37</f>
        <v/>
      </c>
      <c r="D6" s="34">
        <f>'Desglose por Tabla (13 Tablas)'!F41</f>
        <v/>
      </c>
      <c r="E6" s="34">
        <f>'Desglose por Tabla (13 Tablas)'!F46</f>
        <v/>
      </c>
      <c r="F6" s="34">
        <f>'Desglose por Tabla (13 Tablas)'!F50</f>
        <v/>
      </c>
      <c r="G6" s="34">
        <f>'Desglose por Tabla (13 Tablas)'!F54</f>
        <v/>
      </c>
      <c r="H6" s="35">
        <f>SUM(C6:G6)</f>
        <v/>
      </c>
      <c r="I6" s="36">
        <f>H6/H18</f>
        <v/>
      </c>
    </row>
    <row r="7" ht="20" customHeight="1">
      <c r="A7" s="13" t="n">
        <v>3</v>
      </c>
      <c r="B7" s="12" t="inlineStr">
        <is>
          <t>Tabla: verificaciones_otp</t>
        </is>
      </c>
      <c r="C7" s="16">
        <f>'Desglose por Tabla (13 Tablas)'!F63</f>
        <v/>
      </c>
      <c r="D7" s="16">
        <f>'Desglose por Tabla (13 Tablas)'!F67</f>
        <v/>
      </c>
      <c r="E7" s="16">
        <f>'Desglose por Tabla (13 Tablas)'!F71</f>
        <v/>
      </c>
      <c r="F7" s="16">
        <f>'Desglose por Tabla (13 Tablas)'!F75</f>
        <v/>
      </c>
      <c r="G7" s="16">
        <f>'Desglose por Tabla (13 Tablas)'!F79</f>
        <v/>
      </c>
      <c r="H7" s="32">
        <f>SUM(C7:G7)</f>
        <v/>
      </c>
      <c r="I7" s="17">
        <f>H7/H18</f>
        <v/>
      </c>
    </row>
    <row r="8" ht="20" customHeight="1">
      <c r="A8" s="28" t="n">
        <v>4</v>
      </c>
      <c r="B8" s="33" t="inlineStr">
        <is>
          <t>Tabla: categorias</t>
        </is>
      </c>
      <c r="C8" s="34">
        <f>'Desglose por Tabla (13 Tablas)'!F88</f>
        <v/>
      </c>
      <c r="D8" s="34">
        <f>'Desglose por Tabla (13 Tablas)'!F92</f>
        <v/>
      </c>
      <c r="E8" s="34">
        <f>'Desglose por Tabla (13 Tablas)'!F97</f>
        <v/>
      </c>
      <c r="F8" s="34">
        <f>'Desglose por Tabla (13 Tablas)'!F101</f>
        <v/>
      </c>
      <c r="G8" s="34">
        <f>'Desglose por Tabla (13 Tablas)'!F105</f>
        <v/>
      </c>
      <c r="H8" s="35">
        <f>SUM(C8:G8)</f>
        <v/>
      </c>
      <c r="I8" s="36">
        <f>H8/H18</f>
        <v/>
      </c>
    </row>
    <row r="9" ht="20" customHeight="1">
      <c r="A9" s="13" t="n">
        <v>5</v>
      </c>
      <c r="B9" s="12" t="inlineStr">
        <is>
          <t>Tabla: productos</t>
        </is>
      </c>
      <c r="C9" s="16">
        <f>'Desglose por Tabla (13 Tablas)'!F114</f>
        <v/>
      </c>
      <c r="D9" s="16">
        <f>'Desglose por Tabla (13 Tablas)'!F119</f>
        <v/>
      </c>
      <c r="E9" s="16">
        <f>'Desglose por Tabla (13 Tablas)'!F124</f>
        <v/>
      </c>
      <c r="F9" s="16">
        <f>'Desglose por Tabla (13 Tablas)'!F128</f>
        <v/>
      </c>
      <c r="G9" s="16">
        <f>'Desglose por Tabla (13 Tablas)'!F132</f>
        <v/>
      </c>
      <c r="H9" s="32">
        <f>SUM(C9:G9)</f>
        <v/>
      </c>
      <c r="I9" s="17">
        <f>H9/H18</f>
        <v/>
      </c>
    </row>
    <row r="10" ht="20" customHeight="1">
      <c r="A10" s="28" t="n">
        <v>6</v>
      </c>
      <c r="B10" s="33" t="inlineStr">
        <is>
          <t>Tabla: imagenes_producto</t>
        </is>
      </c>
      <c r="C10" s="34">
        <f>'Desglose por Tabla (13 Tablas)'!F141</f>
        <v/>
      </c>
      <c r="D10" s="34">
        <f>'Desglose por Tabla (13 Tablas)'!F145</f>
        <v/>
      </c>
      <c r="E10" s="34">
        <f>'Desglose por Tabla (13 Tablas)'!F149</f>
        <v/>
      </c>
      <c r="F10" s="34">
        <f>'Desglose por Tabla (13 Tablas)'!F153</f>
        <v/>
      </c>
      <c r="G10" s="34">
        <f>'Desglose por Tabla (13 Tablas)'!F157</f>
        <v/>
      </c>
      <c r="H10" s="35">
        <f>SUM(C10:G10)</f>
        <v/>
      </c>
      <c r="I10" s="36">
        <f>H10/H18</f>
        <v/>
      </c>
    </row>
    <row r="11" ht="20" customHeight="1">
      <c r="A11" s="13" t="n">
        <v>7</v>
      </c>
      <c r="B11" s="12" t="inlineStr">
        <is>
          <t>Tabla: carrito</t>
        </is>
      </c>
      <c r="C11" s="16">
        <f>'Desglose por Tabla (13 Tablas)'!F166</f>
        <v/>
      </c>
      <c r="D11" s="16">
        <f>'Desglose por Tabla (13 Tablas)'!F170</f>
        <v/>
      </c>
      <c r="E11" s="16">
        <f>'Desglose por Tabla (13 Tablas)'!F174</f>
        <v/>
      </c>
      <c r="F11" s="16">
        <f>'Desglose por Tabla (13 Tablas)'!F178</f>
        <v/>
      </c>
      <c r="G11" s="16">
        <f>'Desglose por Tabla (13 Tablas)'!F182</f>
        <v/>
      </c>
      <c r="H11" s="32">
        <f>SUM(C11:G11)</f>
        <v/>
      </c>
      <c r="I11" s="17">
        <f>H11/H18</f>
        <v/>
      </c>
    </row>
    <row r="12" ht="20" customHeight="1">
      <c r="A12" s="28" t="n">
        <v>8</v>
      </c>
      <c r="B12" s="33" t="inlineStr">
        <is>
          <t>Tabla: detalle_carrito</t>
        </is>
      </c>
      <c r="C12" s="34">
        <f>'Desglose por Tabla (13 Tablas)'!F191</f>
        <v/>
      </c>
      <c r="D12" s="34">
        <f>'Desglose por Tabla (13 Tablas)'!F195</f>
        <v/>
      </c>
      <c r="E12" s="34">
        <f>'Desglose por Tabla (13 Tablas)'!F199</f>
        <v/>
      </c>
      <c r="F12" s="34">
        <f>'Desglose por Tabla (13 Tablas)'!F203</f>
        <v/>
      </c>
      <c r="G12" s="34">
        <f>'Desglose por Tabla (13 Tablas)'!F207</f>
        <v/>
      </c>
      <c r="H12" s="35">
        <f>SUM(C12:G12)</f>
        <v/>
      </c>
      <c r="I12" s="36">
        <f>H12/H18</f>
        <v/>
      </c>
    </row>
    <row r="13" ht="20" customHeight="1">
      <c r="A13" s="13" t="n">
        <v>9</v>
      </c>
      <c r="B13" s="12" t="inlineStr">
        <is>
          <t>Tabla: pedidos</t>
        </is>
      </c>
      <c r="C13" s="16">
        <f>'Desglose por Tabla (13 Tablas)'!F216</f>
        <v/>
      </c>
      <c r="D13" s="16">
        <f>'Desglose por Tabla (13 Tablas)'!F221</f>
        <v/>
      </c>
      <c r="E13" s="16">
        <f>'Desglose por Tabla (13 Tablas)'!F226</f>
        <v/>
      </c>
      <c r="F13" s="16">
        <f>'Desglose por Tabla (13 Tablas)'!F230</f>
        <v/>
      </c>
      <c r="G13" s="16">
        <f>'Desglose por Tabla (13 Tablas)'!F234</f>
        <v/>
      </c>
      <c r="H13" s="32">
        <f>SUM(C13:G13)</f>
        <v/>
      </c>
      <c r="I13" s="17">
        <f>H13/H18</f>
        <v/>
      </c>
    </row>
    <row r="14" ht="20" customHeight="1">
      <c r="A14" s="28" t="n">
        <v>10</v>
      </c>
      <c r="B14" s="33" t="inlineStr">
        <is>
          <t>Tabla: detalle_pedidos</t>
        </is>
      </c>
      <c r="C14" s="34">
        <f>'Desglose por Tabla (13 Tablas)'!F243</f>
        <v/>
      </c>
      <c r="D14" s="34">
        <f>'Desglose por Tabla (13 Tablas)'!F247</f>
        <v/>
      </c>
      <c r="E14" s="34">
        <f>'Desglose por Tabla (13 Tablas)'!F251</f>
        <v/>
      </c>
      <c r="F14" s="34">
        <f>'Desglose por Tabla (13 Tablas)'!F255</f>
        <v/>
      </c>
      <c r="G14" s="34">
        <f>'Desglose por Tabla (13 Tablas)'!F259</f>
        <v/>
      </c>
      <c r="H14" s="35">
        <f>SUM(C14:G14)</f>
        <v/>
      </c>
      <c r="I14" s="36">
        <f>H14/H18</f>
        <v/>
      </c>
    </row>
    <row r="15" ht="20" customHeight="1">
      <c r="A15" s="13" t="n">
        <v>11</v>
      </c>
      <c r="B15" s="12" t="inlineStr">
        <is>
          <t>Tabla: notificaciones</t>
        </is>
      </c>
      <c r="C15" s="16">
        <f>'Desglose por Tabla (13 Tablas)'!F268</f>
        <v/>
      </c>
      <c r="D15" s="16">
        <f>'Desglose por Tabla (13 Tablas)'!F272</f>
        <v/>
      </c>
      <c r="E15" s="16">
        <f>'Desglose por Tabla (13 Tablas)'!F276</f>
        <v/>
      </c>
      <c r="F15" s="16">
        <f>'Desglose por Tabla (13 Tablas)'!F280</f>
        <v/>
      </c>
      <c r="G15" s="16">
        <f>'Desglose por Tabla (13 Tablas)'!F284</f>
        <v/>
      </c>
      <c r="H15" s="32">
        <f>SUM(C15:G15)</f>
        <v/>
      </c>
      <c r="I15" s="17">
        <f>H15/H18</f>
        <v/>
      </c>
    </row>
    <row r="16" ht="20" customHeight="1">
      <c r="A16" s="28" t="n">
        <v>12</v>
      </c>
      <c r="B16" s="33" t="inlineStr">
        <is>
          <t>Tabla: bitacora_seguridad</t>
        </is>
      </c>
      <c r="C16" s="34">
        <f>'Desglose por Tabla (13 Tablas)'!F293</f>
        <v/>
      </c>
      <c r="D16" s="34">
        <f>'Desglose por Tabla (13 Tablas)'!F297</f>
        <v/>
      </c>
      <c r="E16" s="34">
        <f>'Desglose por Tabla (13 Tablas)'!F301</f>
        <v/>
      </c>
      <c r="F16" s="34">
        <f>'Desglose por Tabla (13 Tablas)'!F305</f>
        <v/>
      </c>
      <c r="G16" s="34">
        <f>'Desglose por Tabla (13 Tablas)'!F309</f>
        <v/>
      </c>
      <c r="H16" s="35">
        <f>SUM(C16:G16)</f>
        <v/>
      </c>
      <c r="I16" s="36">
        <f>H16/H18</f>
        <v/>
      </c>
    </row>
    <row r="17" ht="20" customHeight="1">
      <c r="A17" s="13" t="n">
        <v>13</v>
      </c>
      <c r="B17" s="12" t="inlineStr">
        <is>
          <t>Tabla: control_suspensiones</t>
        </is>
      </c>
      <c r="C17" s="16">
        <f>'Desglose por Tabla (13 Tablas)'!F318</f>
        <v/>
      </c>
      <c r="D17" s="16">
        <f>'Desglose por Tabla (13 Tablas)'!F322</f>
        <v/>
      </c>
      <c r="E17" s="16">
        <f>'Desglose por Tabla (13 Tablas)'!F327</f>
        <v/>
      </c>
      <c r="F17" s="16">
        <f>'Desglose por Tabla (13 Tablas)'!F331</f>
        <v/>
      </c>
      <c r="G17" s="16">
        <f>'Desglose por Tabla (13 Tablas)'!F335</f>
        <v/>
      </c>
      <c r="H17" s="32">
        <f>SUM(C17:G17)</f>
        <v/>
      </c>
      <c r="I17" s="17">
        <f>H17/H18</f>
        <v/>
      </c>
    </row>
    <row r="18" ht="26" customHeight="1">
      <c r="A18" s="18" t="inlineStr">
        <is>
          <t>TOTALES GENERALES CONSOLIDADOS (PFNA):</t>
        </is>
      </c>
      <c r="B18" s="19" t="n"/>
      <c r="C18" s="21">
        <f>SUM(C5:C17)</f>
        <v/>
      </c>
      <c r="D18" s="21">
        <f>SUM(D5:D17)</f>
        <v/>
      </c>
      <c r="E18" s="21">
        <f>SUM(E5:E17)</f>
        <v/>
      </c>
      <c r="F18" s="21">
        <f>SUM(F5:F17)</f>
        <v/>
      </c>
      <c r="G18" s="21">
        <f>SUM(G5:G17)</f>
        <v/>
      </c>
      <c r="H18" s="21">
        <f>SUM(H5:H17)</f>
        <v/>
      </c>
      <c r="I18" s="22">
        <f>SUM(I5:I17)</f>
        <v/>
      </c>
    </row>
  </sheetData>
  <mergeCells count="3">
    <mergeCell ref="A1:I1"/>
    <mergeCell ref="A2:I2"/>
    <mergeCell ref="A18:B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44" customWidth="1" min="2" max="2"/>
    <col width="25" customWidth="1" min="3" max="3"/>
    <col width="16" customWidth="1" min="4" max="4"/>
    <col width="65" customWidth="1" min="5" max="5"/>
  </cols>
  <sheetData>
    <row r="1" ht="36" customHeight="1">
      <c r="A1" s="1" t="inlineStr">
        <is>
          <t>CALCULO DE PUNTOS DE FUNCION AJUSTADOS (PFA) - MODELO DE ALBRECHT</t>
        </is>
      </c>
    </row>
    <row r="2" ht="20" customHeight="1">
      <c r="A2" s="2" t="inlineStr">
        <is>
          <t>Evaluacion de los 14 Factores de Ajuste (GSC) | Formula Oficial: PFA = PFNA * [ 0.65 + 0.01 * SUMA(Fi) ]</t>
        </is>
      </c>
    </row>
    <row r="4" ht="24" customHeight="1">
      <c r="A4" s="23" t="inlineStr">
        <is>
          <t>Num.</t>
        </is>
      </c>
      <c r="B4" s="23" t="inlineStr">
        <is>
          <t>Caracteristica General del Sistema (GSC / Albrecht)</t>
        </is>
      </c>
      <c r="C4" s="23" t="inlineStr">
        <is>
          <t>Nivel de Influencia (0 - 5)</t>
        </is>
      </c>
      <c r="D4" s="23" t="inlineStr">
        <is>
          <t>Puntaje (Fi)</t>
        </is>
      </c>
      <c r="E4" s="23" t="inlineStr">
        <is>
          <t>Justificacion Tecnica Exhaustiva en LocalMarket</t>
        </is>
      </c>
    </row>
    <row r="5" ht="20" customHeight="1">
      <c r="A5" s="15" t="inlineStr">
        <is>
          <t>F1</t>
        </is>
      </c>
      <c r="B5" s="14" t="inlineStr">
        <is>
          <t>1. Comunicacion de datos</t>
        </is>
      </c>
      <c r="C5" s="15" t="inlineStr">
        <is>
          <t>4 - Significativo</t>
        </is>
      </c>
      <c r="D5" s="15" t="n">
        <v>4</v>
      </c>
      <c r="E5" s="14" t="inlineStr">
        <is>
          <t>Arquitectura cliente-servidor PWA con endpoints REST HTTPS, WebSockets para notificaciones y APIs externas (WhatsApp, Stripe).</t>
        </is>
      </c>
    </row>
    <row r="6" ht="20" customHeight="1">
      <c r="A6" s="26" t="inlineStr">
        <is>
          <t>F2</t>
        </is>
      </c>
      <c r="B6" s="27" t="inlineStr">
        <is>
          <t>2. Procesamiento distribuido</t>
        </is>
      </c>
      <c r="C6" s="26" t="inlineStr">
        <is>
          <t>3 - Moderado</t>
        </is>
      </c>
      <c r="D6" s="26" t="n">
        <v>3</v>
      </c>
      <c r="E6" s="27" t="inlineStr">
        <is>
          <t>Procesamiento distribuido entre cliente (Service Workers, renderizado dinamico en dashboard.js) y servidor Node.js/PostgreSQL.</t>
        </is>
      </c>
    </row>
    <row r="7" ht="20" customHeight="1">
      <c r="A7" s="15" t="inlineStr">
        <is>
          <t>F3</t>
        </is>
      </c>
      <c r="B7" s="14" t="inlineStr">
        <is>
          <t>3. Rendimiento y performance</t>
        </is>
      </c>
      <c r="C7" s="15" t="inlineStr">
        <is>
          <t>4 - Significativo</t>
        </is>
      </c>
      <c r="D7" s="15" t="n">
        <v>4</v>
      </c>
      <c r="E7" s="14" t="inlineStr">
        <is>
          <t>Tiempos de respuesta criticos en catalogo comercial, sincronizacion offline PWA y confirmacion de compras en tiempo real.</t>
        </is>
      </c>
    </row>
    <row r="8" ht="20" customHeight="1">
      <c r="A8" s="26" t="inlineStr">
        <is>
          <t>F4</t>
        </is>
      </c>
      <c r="B8" s="27" t="inlineStr">
        <is>
          <t>4. Configuracion del equipamiento fuertemente utilizada</t>
        </is>
      </c>
      <c r="C8" s="26" t="inlineStr">
        <is>
          <t>3 - Moderado</t>
        </is>
      </c>
      <c r="D8" s="26" t="n">
        <v>3</v>
      </c>
      <c r="E8" s="27" t="inlineStr">
        <is>
          <t>Operacion continua en entorno Node.js / PostgreSQL con optimizacion de pool de conexiones (pg.Pool) y gestion de memoria.</t>
        </is>
      </c>
    </row>
    <row r="9" ht="20" customHeight="1">
      <c r="A9" s="15" t="inlineStr">
        <is>
          <t>F5</t>
        </is>
      </c>
      <c r="B9" s="14" t="inlineStr">
        <is>
          <t>5. Volumen de transacciones</t>
        </is>
      </c>
      <c r="C9" s="15" t="inlineStr">
        <is>
          <t>4 - Significativo</t>
        </is>
      </c>
      <c r="D9" s="15" t="n">
        <v>4</v>
      </c>
      <c r="E9" s="14" t="inlineStr">
        <is>
          <t>Picos intensivos de transacciones comerciales concurrentes durante horarios comerciales, liquidacion de carritos y consultas.</t>
        </is>
      </c>
    </row>
    <row r="10" ht="20" customHeight="1">
      <c r="A10" s="26" t="inlineStr">
        <is>
          <t>F6</t>
        </is>
      </c>
      <c r="B10" s="27" t="inlineStr">
        <is>
          <t>6. Entrada de datos interactiva en linea</t>
        </is>
      </c>
      <c r="C10" s="26" t="inlineStr">
        <is>
          <t>5 - Esencial</t>
        </is>
      </c>
      <c r="D10" s="26" t="n">
        <v>5</v>
      </c>
      <c r="E10" s="27" t="inlineStr">
        <is>
          <t>El 100% de las operaciones de registro, gestion de catalogo, cotizacion, pago y moderacion se ejecuta interactivamente.</t>
        </is>
      </c>
    </row>
    <row r="11" ht="20" customHeight="1">
      <c r="A11" s="15" t="inlineStr">
        <is>
          <t>F7</t>
        </is>
      </c>
      <c r="B11" s="14" t="inlineStr">
        <is>
          <t>7. Eficiencia del usuario final (Multiples pantallas)</t>
        </is>
      </c>
      <c r="C11" s="15" t="inlineStr">
        <is>
          <t>4 - Significativo</t>
        </is>
      </c>
      <c r="D11" s="15" t="n">
        <v>4</v>
      </c>
      <c r="E11" s="14" t="inlineStr">
        <is>
          <t>Panel de control multifuncional desacoplado con pestanas dinamicas (Auth, Catalogo, Pedidos, Notificaciones, Bitacora, Control).</t>
        </is>
      </c>
    </row>
    <row r="12" ht="20" customHeight="1">
      <c r="A12" s="26" t="inlineStr">
        <is>
          <t>F8</t>
        </is>
      </c>
      <c r="B12" s="27" t="inlineStr">
        <is>
          <t>8. Actualizacion interactiva de archivos maestros</t>
        </is>
      </c>
      <c r="C12" s="26" t="inlineStr">
        <is>
          <t>4 - Significativo</t>
        </is>
      </c>
      <c r="D12" s="26" t="n">
        <v>4</v>
      </c>
      <c r="E12" s="27" t="inlineStr">
        <is>
          <t>Las tablas maestras (usuarios, productos, pedidos, stock) se actualizan en tiempo real con transacciones ACID en PostgreSQL.</t>
        </is>
      </c>
    </row>
    <row r="13" ht="20" customHeight="1">
      <c r="A13" s="15" t="inlineStr">
        <is>
          <t>F9</t>
        </is>
      </c>
      <c r="B13" s="14" t="inlineStr">
        <is>
          <t>9. Complejidad logica de transacciones / procesamiento</t>
        </is>
      </c>
      <c r="C13" s="15" t="inlineStr">
        <is>
          <t>4 - Significativo</t>
        </is>
      </c>
      <c r="D13" s="15" t="n">
        <v>4</v>
      </c>
      <c r="E13" s="14" t="inlineStr">
        <is>
          <t>Logica compleja de control de acceso RBAC, verificacion OTP con temporizador, calculo de comisiones y politicas de suspension.</t>
        </is>
      </c>
    </row>
    <row r="14" ht="20" customHeight="1">
      <c r="A14" s="26" t="inlineStr">
        <is>
          <t>F10</t>
        </is>
      </c>
      <c r="B14" s="27" t="inlineStr">
        <is>
          <t>10. Complejidad del procesamiento interno</t>
        </is>
      </c>
      <c r="C14" s="26" t="inlineStr">
        <is>
          <t>3 - Moderado</t>
        </is>
      </c>
      <c r="D14" s="26" t="n">
        <v>3</v>
      </c>
      <c r="E14" s="27" t="inlineStr">
        <is>
          <t>Calculo de margenes brutos, prorrateo de envios, conciliacion contable de ventas y algoritmos criptograficos (bcrypt, tokens).</t>
        </is>
      </c>
    </row>
    <row r="15" ht="20" customHeight="1">
      <c r="A15" s="15" t="inlineStr">
        <is>
          <t>F11</t>
        </is>
      </c>
      <c r="B15" s="14" t="inlineStr">
        <is>
          <t>11. Reusabilidad del codigo</t>
        </is>
      </c>
      <c r="C15" s="15" t="inlineStr">
        <is>
          <t>4 - Significativo</t>
        </is>
      </c>
      <c r="D15" s="15" t="n">
        <v>4</v>
      </c>
      <c r="E15" s="14" t="inlineStr">
        <is>
          <t>Arquitectura modular profesional en Express (controllers, routes, middlewares RBAC) y componentes JS desacoplados y reusables.</t>
        </is>
      </c>
    </row>
    <row r="16" ht="20" customHeight="1">
      <c r="A16" s="26" t="inlineStr">
        <is>
          <t>F12</t>
        </is>
      </c>
      <c r="B16" s="27" t="inlineStr">
        <is>
          <t>12. Facilidad de instalacion y conversion</t>
        </is>
      </c>
      <c r="C16" s="26" t="inlineStr">
        <is>
          <t>4 - Significativo</t>
        </is>
      </c>
      <c r="D16" s="26" t="n">
        <v>4</v>
      </c>
      <c r="E16" s="27" t="inlineStr">
        <is>
          <t>Estructura lista con npm start, migraciones SQL DDL/DML automatizadas y compatibilidad PWA instalable con 1 clic en movil/PC.</t>
        </is>
      </c>
    </row>
    <row r="17" ht="20" customHeight="1">
      <c r="A17" s="15" t="inlineStr">
        <is>
          <t>F13</t>
        </is>
      </c>
      <c r="B17" s="14" t="inlineStr">
        <is>
          <t>13. Multiples instalaciones en diferentes organizaciones</t>
        </is>
      </c>
      <c r="C17" s="15" t="inlineStr">
        <is>
          <t>4 - Significativo</t>
        </is>
      </c>
      <c r="D17" s="15" t="n">
        <v>4</v>
      </c>
      <c r="E17" s="14" t="inlineStr">
        <is>
          <t>Disenado para ser replicable como marketplace local en diferentes municipios, camaras de comercio o ferias de productores.</t>
        </is>
      </c>
    </row>
    <row r="18" ht="20" customHeight="1">
      <c r="A18" s="26" t="inlineStr">
        <is>
          <t>F14</t>
        </is>
      </c>
      <c r="B18" s="27" t="inlineStr">
        <is>
          <t>14. Facilidad de cambios y mantenimiento</t>
        </is>
      </c>
      <c r="C18" s="26" t="inlineStr">
        <is>
          <t>4 - Significativo</t>
        </is>
      </c>
      <c r="D18" s="26" t="n">
        <v>4</v>
      </c>
      <c r="E18" s="27" t="inlineStr">
        <is>
          <t>Codigo estructurado y comentado, variables de entorno desacopladas (.env), alta cohesion y bajo acoplamiento arquitectonico.</t>
        </is>
      </c>
    </row>
    <row r="19" ht="22" customHeight="1">
      <c r="A19" s="29" t="inlineStr">
        <is>
          <t>SUMATORIA TOTAL DE FACTORES GENERALES DE COMPLEJIDAD (SUMA(Fi)):</t>
        </is>
      </c>
      <c r="B19" s="30" t="n"/>
      <c r="C19" s="30" t="n"/>
      <c r="D19" s="31">
        <f>SUM(D5:D18)</f>
        <v/>
      </c>
      <c r="E19" s="37" t="inlineStr">
        <is>
          <t>Rango teorico: 0 a 70 puntos maximos</t>
        </is>
      </c>
    </row>
    <row r="22" ht="24" customHeight="1">
      <c r="A22" s="8" t="inlineStr">
        <is>
          <t>CUADRO RESUMEN DE CALCULO DE PUNTOS DE FUNCION AJUSTADOS (PFA)</t>
        </is>
      </c>
    </row>
    <row r="23" ht="22" customHeight="1">
      <c r="A23" s="11" t="inlineStr">
        <is>
          <t>Parametro / Metrica</t>
        </is>
      </c>
      <c r="B23" s="11" t="inlineStr">
        <is>
          <t>Valor</t>
        </is>
      </c>
      <c r="C23" s="11" t="inlineStr">
        <is>
          <t>Formula de Calculo</t>
        </is>
      </c>
      <c r="D23" s="11" t="inlineStr">
        <is>
          <t>Descripcion e Interpretacion Tecnica</t>
        </is>
      </c>
      <c r="E23" s="4" t="n"/>
    </row>
    <row r="24" ht="20" customHeight="1">
      <c r="A24" s="9" t="inlineStr">
        <is>
          <t>Total PF No Ajustados (PFNA)</t>
        </is>
      </c>
      <c r="B24" s="32">
        <f>'Consolidado PFNA'!H18</f>
        <v/>
      </c>
      <c r="C24" s="15">
        <f>'Consolidado PFNA'!H18</f>
        <v/>
      </c>
      <c r="D24" s="10" t="inlineStr">
        <is>
          <t>Tamano funcional elemental no ajustado de las 13 tablas de la base de datos.</t>
        </is>
      </c>
      <c r="E24" s="4" t="n"/>
    </row>
    <row r="25" ht="20" customHeight="1">
      <c r="A25" s="9" t="inlineStr">
        <is>
          <t>Suma Factores de Complejidad (SUMA(Fi))</t>
        </is>
      </c>
      <c r="B25" s="13">
        <f>D19</f>
        <v/>
      </c>
      <c r="C25" s="15">
        <f>SUM(D5:D18)</f>
        <v/>
      </c>
      <c r="D25" s="10" t="inlineStr">
        <is>
          <t>Grado de influencia acumulado de las 14 caracteristicas generales del sistema.</t>
        </is>
      </c>
      <c r="E25" s="4" t="n"/>
    </row>
    <row r="26" ht="20" customHeight="1">
      <c r="A26" s="9" t="inlineStr">
        <is>
          <t>Factor de Ajuste de Complejidad (CAF)</t>
        </is>
      </c>
      <c r="B26" s="38">
        <f>0.65+(0.01*B25)</f>
        <v/>
      </c>
      <c r="C26" s="15">
        <f>0.65 + 0.01 * B25</f>
        <v/>
      </c>
      <c r="D26" s="10" t="inlineStr">
        <is>
          <t>Factor multiplicador (CAF) entre 0.65 y 1.35 segun el estandar de Albrecht.</t>
        </is>
      </c>
      <c r="E26" s="4" t="n"/>
    </row>
    <row r="27" ht="28" customHeight="1">
      <c r="A27" s="39" t="inlineStr">
        <is>
          <t>TOTAL PUNTOS DE FUNCION AJUSTADOS (PFA)</t>
        </is>
      </c>
      <c r="B27" s="40">
        <f>B24*B26</f>
        <v/>
      </c>
      <c r="C27" s="20">
        <f>B24 * B26</f>
        <v/>
      </c>
      <c r="D27" s="39" t="inlineStr">
        <is>
          <t>Tamano de software definitivo ajustado por complejidad para estimacion de esfuerzo y costos.</t>
        </is>
      </c>
      <c r="E27" s="19" t="n"/>
    </row>
    <row r="30" ht="24" customHeight="1">
      <c r="A30" s="8" t="inlineStr">
        <is>
          <t>ESTIMACIONES DERIVADAS DE INGENIERIA DE SOFTWARE (BENCHMARKS COCOMO / QSM)</t>
        </is>
      </c>
    </row>
    <row r="31" ht="22" customHeight="1">
      <c r="A31" s="11" t="inlineStr">
        <is>
          <t>Metrica Derivada</t>
        </is>
      </c>
      <c r="B31" s="11" t="inlineStr">
        <is>
          <t>Valor Estimado</t>
        </is>
      </c>
      <c r="C31" s="11" t="inlineStr">
        <is>
          <t>Unidad</t>
        </is>
      </c>
      <c r="D31" s="11" t="inlineStr">
        <is>
          <t>Base de Referencia y Metodologia</t>
        </is>
      </c>
      <c r="E31" s="4" t="n"/>
    </row>
    <row r="32" ht="20" customHeight="1">
      <c r="A32" s="9" t="inlineStr">
        <is>
          <t>Lineas de Codigo Fuente (KLOC) Equivalentes</t>
        </is>
      </c>
      <c r="B32" s="41">
        <f>B27*53</f>
        <v/>
      </c>
      <c r="C32" s="15" t="inlineStr">
        <is>
          <t>LOC (Lineas)</t>
        </is>
      </c>
      <c r="D32" s="10" t="inlineStr">
        <is>
          <t>Factor de conversion de 53 LOC/PF para JavaScript / Node.js y SQL (QSM).</t>
        </is>
      </c>
      <c r="E32" s="4" t="n"/>
    </row>
    <row r="33" ht="20" customHeight="1">
      <c r="A33" s="9" t="inlineStr">
        <is>
          <t>Esfuerzo de Desarrollo Estimado (Horas-Hombre)</t>
        </is>
      </c>
      <c r="B33" s="41">
        <f>B27*8</f>
        <v/>
      </c>
      <c r="C33" s="15" t="inlineStr">
        <is>
          <t>Horas-Hombre</t>
        </is>
      </c>
      <c r="D33" s="10" t="inlineStr">
        <is>
          <t>Tasa de productividad promedio de la industria de 8 horas por Punto de Funcion.</t>
        </is>
      </c>
      <c r="E33" s="4" t="n"/>
    </row>
    <row r="34" ht="20" customHeight="1">
      <c r="A34" s="9" t="inlineStr">
        <is>
          <t>Esfuerzo de Desarrollo en Meses-Hombre</t>
        </is>
      </c>
      <c r="B34" s="41">
        <f>(B27*8)/160</f>
        <v/>
      </c>
      <c r="C34" s="15" t="inlineStr">
        <is>
          <t>Meses-Hombre</t>
        </is>
      </c>
      <c r="D34" s="10" t="inlineStr">
        <is>
          <t>Jornada laboral de 160 horas efectivas de desarrollo al mes.</t>
        </is>
      </c>
      <c r="E34" s="4" t="n"/>
    </row>
    <row r="35" ht="20" customHeight="1">
      <c r="A35" s="9" t="inlineStr">
        <is>
          <t>Duracion Estimada del Proyecto (Meses)</t>
        </is>
      </c>
      <c r="B35" s="41">
        <f>2.5*((B27*8)/160)^0.33</f>
        <v/>
      </c>
      <c r="C35" s="15" t="inlineStr">
        <is>
          <t>Meses Calendario</t>
        </is>
      </c>
      <c r="D35" s="10" t="inlineStr">
        <is>
          <t>Ecuacion de duracion de COCOMO II con equipo optimo de 3 a 4 ingenieros.</t>
        </is>
      </c>
      <c r="E35" s="4" t="n"/>
    </row>
    <row r="36" ht="20" customHeight="1">
      <c r="A36" s="9" t="inlineStr">
        <is>
          <t>Tamano del Equipo Recomendado</t>
        </is>
      </c>
      <c r="B36" s="41">
        <f>((B27*8)/160)/(2.5*((B27*8)/160)^0.33)</f>
        <v/>
      </c>
      <c r="C36" s="15" t="inlineStr">
        <is>
          <t>Desarrolladores</t>
        </is>
      </c>
      <c r="D36" s="10" t="inlineStr">
        <is>
          <t>Ratio entre Meses-Hombre totales y duracion optima del calendario.</t>
        </is>
      </c>
      <c r="E36" s="4" t="n"/>
    </row>
  </sheetData>
  <mergeCells count="16">
    <mergeCell ref="D25:E25"/>
    <mergeCell ref="A30:E30"/>
    <mergeCell ref="A19:C19"/>
    <mergeCell ref="D24:E24"/>
    <mergeCell ref="A2:E2"/>
    <mergeCell ref="D33:E33"/>
    <mergeCell ref="D34:E34"/>
    <mergeCell ref="D27:E27"/>
    <mergeCell ref="D23:E23"/>
    <mergeCell ref="A1:E1"/>
    <mergeCell ref="D32:E32"/>
    <mergeCell ref="D26:E26"/>
    <mergeCell ref="D36:E36"/>
    <mergeCell ref="D31:E31"/>
    <mergeCell ref="A22:E22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2026-10-22T19:45:36Z</dcterms:created>
  <dcterms:modified xsi:type="dcterms:W3CDTF">2026-10-22T19:45:36Z</dcterms:modified>
</cp:coreProperties>
</file>