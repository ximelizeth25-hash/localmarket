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rices de Complejidad" sheetId="1" state="visible" r:id="rId1"/>
    <sheet name="PF No Ajustados" sheetId="2" state="visible" r:id="rId2"/>
    <sheet name="PF Ajustados" sheetId="3" state="visible" r:id="rId3"/>
    <sheet name="Resumen Ejecutiv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404040"/>
      <sz val="10"/>
    </font>
    <font>
      <name val="Calibri"/>
      <b val="1"/>
      <color rgb="00FFFFFF"/>
      <sz val="11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1F4E78"/>
      <sz val="10"/>
    </font>
    <font>
      <name val="Calibri"/>
      <b val="1"/>
      <color rgb="001E4620"/>
      <sz val="11"/>
    </font>
    <font>
      <name val="Calibri"/>
      <i val="1"/>
      <color rgb="00595959"/>
      <sz val="9"/>
    </font>
    <font>
      <name val="Calibri"/>
      <b val="1"/>
      <color rgb="00595959"/>
      <sz val="9"/>
    </font>
    <font>
      <name val="Calibri"/>
      <b val="1"/>
      <color rgb="001F4E78"/>
      <sz val="18"/>
    </font>
    <font>
      <name val="Calibri"/>
      <i val="1"/>
      <color rgb="00595959"/>
      <sz val="8.5"/>
    </font>
  </fonts>
  <fills count="8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9FAFB"/>
        <bgColor rgb="00F9FAFB"/>
      </patternFill>
    </fill>
    <fill>
      <patternFill patternType="solid">
        <fgColor rgb="00D9E1F2"/>
        <bgColor rgb="00D9E1F2"/>
      </patternFill>
    </fill>
    <fill>
      <patternFill patternType="solid">
        <fgColor rgb="00E2F0D9"/>
        <bgColor rgb="00E2F0D9"/>
      </patternFill>
    </fill>
    <fill>
      <patternFill patternType="solid">
        <fgColor rgb="00F2F2F2"/>
        <bgColor rgb="00F2F2F2"/>
      </patternFill>
    </fill>
  </fills>
  <borders count="4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thin">
        <color rgb="001F4E78"/>
      </top>
      <bottom style="double">
        <color rgb="001F4E78"/>
      </bottom>
    </border>
    <border>
      <left style="thin">
        <color rgb="00D9D9D9"/>
      </left>
      <right style="thin">
        <color rgb="00D9D9D9"/>
      </right>
      <top style="thin">
        <color rgb="00385723"/>
      </top>
      <bottom style="double">
        <color rgb="00385723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6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7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7" fillId="5" borderId="2" applyAlignment="1" pivotButton="0" quotePrefix="0" xfId="0">
      <alignment horizontal="center" vertical="center"/>
    </xf>
    <xf numFmtId="0" fontId="8" fillId="6" borderId="3" applyAlignment="1" pivotButton="0" quotePrefix="0" xfId="0">
      <alignment horizontal="right" vertical="center"/>
    </xf>
    <xf numFmtId="0" fontId="0" fillId="6" borderId="3" pivotButton="0" quotePrefix="0" xfId="0"/>
    <xf numFmtId="0" fontId="8" fillId="6" borderId="3" applyAlignment="1" pivotButton="0" quotePrefix="0" xfId="0">
      <alignment horizontal="center" vertical="center"/>
    </xf>
    <xf numFmtId="0" fontId="9" fillId="5" borderId="2" applyAlignment="1" pivotButton="0" quotePrefix="0" xfId="0">
      <alignment horizontal="center" vertical="center"/>
    </xf>
    <xf numFmtId="0" fontId="4" fillId="0" borderId="1" pivotButton="0" quotePrefix="0" xfId="0"/>
    <xf numFmtId="0" fontId="7" fillId="0" borderId="1" applyAlignment="1" pivotButton="0" quotePrefix="0" xfId="0">
      <alignment horizontal="center" vertical="center"/>
    </xf>
    <xf numFmtId="0" fontId="5" fillId="0" borderId="1" pivotButton="0" quotePrefix="0" xfId="0"/>
    <xf numFmtId="2" fontId="7" fillId="0" borderId="1" applyAlignment="1" pivotButton="0" quotePrefix="0" xfId="0">
      <alignment horizontal="center" vertical="center"/>
    </xf>
    <xf numFmtId="0" fontId="8" fillId="6" borderId="3" pivotButton="0" quotePrefix="0" xfId="0"/>
    <xf numFmtId="4" fontId="8" fillId="6" borderId="3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4" fontId="11" fillId="7" borderId="1" applyAlignment="1" pivotButton="0" quotePrefix="0" xfId="0">
      <alignment horizontal="center" vertical="center"/>
    </xf>
    <xf numFmtId="0" fontId="12" fillId="7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10" fontId="5" fillId="4" borderId="1" applyAlignment="1" pivotButton="0" quotePrefix="0" xfId="0">
      <alignment horizontal="center" vertical="center"/>
    </xf>
    <xf numFmtId="10" fontId="8" fillId="6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5"/>
  <sheetViews>
    <sheetView showGridLines="1" workbookViewId="0">
      <selection activeCell="A1" sqref="A1"/>
    </sheetView>
  </sheetViews>
  <sheetFormatPr baseColWidth="8" defaultRowHeight="15" outlineLevelCol="0"/>
  <cols>
    <col width="36" customWidth="1" min="1" max="1"/>
    <col width="26" customWidth="1" min="2" max="2"/>
    <col width="26" customWidth="1" min="3" max="3"/>
    <col width="26" customWidth="1" min="4" max="4"/>
    <col width="16" customWidth="1" min="5" max="5"/>
    <col width="16" customWidth="1" min="6" max="6"/>
    <col width="16" customWidth="1" min="7" max="7"/>
  </cols>
  <sheetData>
    <row r="1" ht="36" customHeight="1">
      <c r="A1" s="1" t="inlineStr">
        <is>
          <t>MATRICES OFICIALES DE COMPLEJIDAD Y VALORACIÓN (IFPUG / ALBRECHT)</t>
        </is>
      </c>
    </row>
    <row r="2" ht="20" customHeight="1">
      <c r="A2" s="2" t="inlineStr">
        <is>
          <t>Reglas de ponderación y tablas de referencia estandarizadas de 'PuntosDeFuncion.DOC'</t>
        </is>
      </c>
    </row>
    <row r="4" ht="24" customHeight="1">
      <c r="A4" s="3" t="inlineStr">
        <is>
          <t>1. DEFINICIONES OPERATIVAS DEL MODELO</t>
        </is>
      </c>
    </row>
    <row r="5" ht="20" customHeight="1">
      <c r="A5" s="4" t="inlineStr">
        <is>
          <t>Entrada (EI)</t>
        </is>
      </c>
      <c r="B5" s="5" t="inlineStr">
        <is>
          <t>Transacciones elementales relacionadas con agregar (altas), eliminar (bajas físicas o lógicas) y modificar datos en las tablas.</t>
        </is>
      </c>
      <c r="C5" s="6" t="n"/>
      <c r="D5" s="6" t="n"/>
      <c r="E5" s="6" t="n"/>
      <c r="F5" s="6" t="n"/>
      <c r="G5" s="6" t="n"/>
    </row>
    <row r="6" ht="20" customHeight="1">
      <c r="A6" s="4" t="inlineStr">
        <is>
          <t>Salida (EO)</t>
        </is>
      </c>
      <c r="B6" s="5" t="inlineStr">
        <is>
          <t>Consultas o generación de informes que involucran cálculos derivados, operaciones matemáticas, prorrateos o saldos acumulados.</t>
        </is>
      </c>
      <c r="C6" s="6" t="n"/>
      <c r="D6" s="6" t="n"/>
      <c r="E6" s="6" t="n"/>
      <c r="F6" s="6" t="n"/>
      <c r="G6" s="6" t="n"/>
    </row>
    <row r="7" ht="20" customHeight="1">
      <c r="A7" s="4" t="inlineStr">
        <is>
          <t>Petición (EQ)</t>
        </is>
      </c>
      <c r="B7" s="5" t="inlineStr">
        <is>
          <t>Consultas directas o generación de reportes sin cálculos matemáticos derivados (como listados de catálogos y búsquedas).</t>
        </is>
      </c>
      <c r="C7" s="6" t="n"/>
      <c r="D7" s="6" t="n"/>
      <c r="E7" s="6" t="n"/>
      <c r="F7" s="6" t="n"/>
      <c r="G7" s="6" t="n"/>
    </row>
    <row r="8" ht="20" customHeight="1">
      <c r="A8" s="4" t="inlineStr">
        <is>
          <t>Archivos Internos (ILF)</t>
        </is>
      </c>
      <c r="B8" s="5" t="inlineStr">
        <is>
          <t>Archivos lógicos o tablas que son mantenidos y alterados directamente por el propio sistema (Alumno, Pago, Materia, etc.).</t>
        </is>
      </c>
      <c r="C8" s="6" t="n"/>
      <c r="D8" s="6" t="n"/>
      <c r="E8" s="6" t="n"/>
      <c r="F8" s="6" t="n"/>
      <c r="G8" s="6" t="n"/>
    </row>
    <row r="9" ht="20" customHeight="1">
      <c r="A9" s="4" t="inlineStr">
        <is>
          <t>Archivos Externos (EIF)</t>
        </is>
      </c>
      <c r="B9" s="5" t="inlineStr">
        <is>
          <t>Archivos referenciados solo para consulta por el sistema pero alterados por sistemas externos (RENAPO, SEJ).</t>
        </is>
      </c>
      <c r="C9" s="6" t="n"/>
      <c r="D9" s="6" t="n"/>
      <c r="E9" s="6" t="n"/>
      <c r="F9" s="6" t="n"/>
      <c r="G9" s="6" t="n"/>
    </row>
    <row r="11" ht="24" customHeight="1">
      <c r="A11" s="3" t="inlineStr">
        <is>
          <t>TABLA 1. MATRIZ DE COMPLEJIDAD PARA ENTRADAS EXTERNAS (EI)</t>
        </is>
      </c>
    </row>
    <row r="12" ht="22" customHeight="1">
      <c r="A12" s="7" t="inlineStr">
        <is>
          <t>Archivos Referenciados (FTR)</t>
        </is>
      </c>
      <c r="B12" s="7" t="inlineStr">
        <is>
          <t>1 – 4 Elementos (DET)</t>
        </is>
      </c>
      <c r="C12" s="7" t="inlineStr">
        <is>
          <t>5 – 15 Elementos (DET)</t>
        </is>
      </c>
      <c r="D12" s="7" t="inlineStr">
        <is>
          <t>16 o más Elementos (DET)</t>
        </is>
      </c>
    </row>
    <row r="13" ht="19" customHeight="1">
      <c r="A13" s="4" t="inlineStr">
        <is>
          <t>Menos de 2 (&lt; 2 FTR)</t>
        </is>
      </c>
      <c r="B13" s="8" t="inlineStr">
        <is>
          <t>Bajo</t>
        </is>
      </c>
      <c r="C13" s="8" t="inlineStr">
        <is>
          <t>Bajo</t>
        </is>
      </c>
      <c r="D13" s="8" t="inlineStr">
        <is>
          <t>Medio</t>
        </is>
      </c>
    </row>
    <row r="14" ht="19" customHeight="1">
      <c r="A14" s="4" t="inlineStr">
        <is>
          <t>2 FTR</t>
        </is>
      </c>
      <c r="B14" s="8" t="inlineStr">
        <is>
          <t>Bajo</t>
        </is>
      </c>
      <c r="C14" s="8" t="inlineStr">
        <is>
          <t>Medio</t>
        </is>
      </c>
      <c r="D14" s="8" t="inlineStr">
        <is>
          <t>Alto</t>
        </is>
      </c>
    </row>
    <row r="15" ht="19" customHeight="1">
      <c r="A15" s="4" t="inlineStr">
        <is>
          <t>Más de 2 (&gt; 2 FTR)</t>
        </is>
      </c>
      <c r="B15" s="8" t="inlineStr">
        <is>
          <t>Medio</t>
        </is>
      </c>
      <c r="C15" s="8" t="inlineStr">
        <is>
          <t>Alto</t>
        </is>
      </c>
      <c r="D15" s="8" t="inlineStr">
        <is>
          <t>Alto</t>
        </is>
      </c>
    </row>
    <row r="17" ht="24" customHeight="1">
      <c r="A17" s="3" t="inlineStr">
        <is>
          <t>TABLA 2. MATRIZ DE COMPLEJIDAD PARA SALIDAS (EO) Y PETICIONES (EQ)</t>
        </is>
      </c>
    </row>
    <row r="18" ht="22" customHeight="1">
      <c r="A18" s="7" t="inlineStr">
        <is>
          <t>Archivos Referenciados (FTR)</t>
        </is>
      </c>
      <c r="B18" s="7" t="inlineStr">
        <is>
          <t>1 – 5 Elementos (DET)</t>
        </is>
      </c>
      <c r="C18" s="7" t="inlineStr">
        <is>
          <t>6 – 19 Elementos (DET)</t>
        </is>
      </c>
      <c r="D18" s="7" t="inlineStr">
        <is>
          <t>20 o más Elementos (DET)</t>
        </is>
      </c>
    </row>
    <row r="19" ht="19" customHeight="1">
      <c r="A19" s="4" t="inlineStr">
        <is>
          <t>Menos que 2 (&lt; 2 FTR)</t>
        </is>
      </c>
      <c r="B19" s="8" t="inlineStr">
        <is>
          <t>Bajo</t>
        </is>
      </c>
      <c r="C19" s="8" t="inlineStr">
        <is>
          <t>Bajo</t>
        </is>
      </c>
      <c r="D19" s="8" t="inlineStr">
        <is>
          <t>Medio</t>
        </is>
      </c>
    </row>
    <row r="20" ht="19" customHeight="1">
      <c r="A20" s="4" t="inlineStr">
        <is>
          <t>2 – 3 FTR</t>
        </is>
      </c>
      <c r="B20" s="8" t="inlineStr">
        <is>
          <t>Bajo</t>
        </is>
      </c>
      <c r="C20" s="8" t="inlineStr">
        <is>
          <t>Medio</t>
        </is>
      </c>
      <c r="D20" s="8" t="inlineStr">
        <is>
          <t>Alto</t>
        </is>
      </c>
    </row>
    <row r="21" ht="19" customHeight="1">
      <c r="A21" s="4" t="inlineStr">
        <is>
          <t>Más de 3 (&gt; 3 FTR)</t>
        </is>
      </c>
      <c r="B21" s="8" t="inlineStr">
        <is>
          <t>Medio</t>
        </is>
      </c>
      <c r="C21" s="8" t="inlineStr">
        <is>
          <t>Alto</t>
        </is>
      </c>
      <c r="D21" s="8" t="inlineStr">
        <is>
          <t>Alto</t>
        </is>
      </c>
    </row>
    <row r="23" ht="24" customHeight="1">
      <c r="A23" s="3" t="inlineStr">
        <is>
          <t>TABLA 3. MATRIZ DE COMPLEJIDAD PARA ARCHIVOS INTERNOS (ILF) Y EXTERNOS (EIF)</t>
        </is>
      </c>
    </row>
    <row r="24" ht="22" customHeight="1">
      <c r="A24" s="7" t="inlineStr">
        <is>
          <t>Tipos de Registro (RET)</t>
        </is>
      </c>
      <c r="B24" s="7" t="inlineStr">
        <is>
          <t>1 – 19 Elementos (DET)</t>
        </is>
      </c>
      <c r="C24" s="7" t="inlineStr">
        <is>
          <t>20 – 50 Elementos (DET)</t>
        </is>
      </c>
      <c r="D24" s="7" t="inlineStr">
        <is>
          <t>51 o más Elementos (DET)</t>
        </is>
      </c>
    </row>
    <row r="25" ht="19" customHeight="1">
      <c r="A25" s="4" t="inlineStr">
        <is>
          <t>Menos de 2 (1 RET)</t>
        </is>
      </c>
      <c r="B25" s="8" t="inlineStr">
        <is>
          <t>Bajo</t>
        </is>
      </c>
      <c r="C25" s="8" t="inlineStr">
        <is>
          <t>Bajo</t>
        </is>
      </c>
      <c r="D25" s="8" t="inlineStr">
        <is>
          <t>Medio</t>
        </is>
      </c>
    </row>
    <row r="26" ht="19" customHeight="1">
      <c r="A26" s="4" t="inlineStr">
        <is>
          <t>2 – 5 RET</t>
        </is>
      </c>
      <c r="B26" s="8" t="inlineStr">
        <is>
          <t>Bajo</t>
        </is>
      </c>
      <c r="C26" s="8" t="inlineStr">
        <is>
          <t>Medio</t>
        </is>
      </c>
      <c r="D26" s="8" t="inlineStr">
        <is>
          <t>Alto</t>
        </is>
      </c>
    </row>
    <row r="27" ht="19" customHeight="1">
      <c r="A27" s="4" t="inlineStr">
        <is>
          <t>Más de 5 (&gt; 5 RET)</t>
        </is>
      </c>
      <c r="B27" s="8" t="inlineStr">
        <is>
          <t>Medio</t>
        </is>
      </c>
      <c r="C27" s="8" t="inlineStr">
        <is>
          <t>Alto</t>
        </is>
      </c>
      <c r="D27" s="8" t="inlineStr">
        <is>
          <t>Alto</t>
        </is>
      </c>
    </row>
    <row r="29" ht="24" customHeight="1">
      <c r="A29" s="3" t="inlineStr">
        <is>
          <t>TABLA 4. TABLA DE PONDERACIÓN OFICIAL DE PUNTOS DE FUNCIÓN NO AJUSTADOS</t>
        </is>
      </c>
    </row>
    <row r="30" ht="22" customHeight="1">
      <c r="A30" s="9" t="inlineStr">
        <is>
          <t>Componente Funcional</t>
        </is>
      </c>
      <c r="B30" s="9" t="inlineStr">
        <is>
          <t>Bajo</t>
        </is>
      </c>
      <c r="C30" s="9" t="inlineStr">
        <is>
          <t>Medio</t>
        </is>
      </c>
      <c r="D30" s="9" t="inlineStr">
        <is>
          <t>Alto</t>
        </is>
      </c>
    </row>
    <row r="31" ht="19" customHeight="1">
      <c r="A31" s="4" t="inlineStr">
        <is>
          <t>Entradas Externas (EI)</t>
        </is>
      </c>
      <c r="B31" s="8" t="n">
        <v>3</v>
      </c>
      <c r="C31" s="8" t="n">
        <v>4</v>
      </c>
      <c r="D31" s="8" t="n">
        <v>6</v>
      </c>
    </row>
    <row r="32" ht="19" customHeight="1">
      <c r="A32" s="4" t="inlineStr">
        <is>
          <t>Salidas Externas (EO)</t>
        </is>
      </c>
      <c r="B32" s="8" t="n">
        <v>4</v>
      </c>
      <c r="C32" s="8" t="n">
        <v>5</v>
      </c>
      <c r="D32" s="8" t="n">
        <v>7</v>
      </c>
    </row>
    <row r="33" ht="19" customHeight="1">
      <c r="A33" s="4" t="inlineStr">
        <is>
          <t>Peticiones / Consultas (EQ)</t>
        </is>
      </c>
      <c r="B33" s="8" t="n">
        <v>3</v>
      </c>
      <c r="C33" s="8" t="n">
        <v>4</v>
      </c>
      <c r="D33" s="8" t="n">
        <v>6</v>
      </c>
    </row>
    <row r="34" ht="19" customHeight="1">
      <c r="A34" s="4" t="inlineStr">
        <is>
          <t>Archivos Lógicos Internos (ILF)</t>
        </is>
      </c>
      <c r="B34" s="8" t="n">
        <v>7</v>
      </c>
      <c r="C34" s="8" t="n">
        <v>10</v>
      </c>
      <c r="D34" s="8" t="n">
        <v>15</v>
      </c>
    </row>
    <row r="35" ht="19" customHeight="1">
      <c r="A35" s="4" t="inlineStr">
        <is>
          <t>Archivos de Interfaz Externa (EIF)</t>
        </is>
      </c>
      <c r="B35" s="8" t="n">
        <v>5</v>
      </c>
      <c r="C35" s="8" t="n">
        <v>7</v>
      </c>
      <c r="D35" s="8" t="n">
        <v>10</v>
      </c>
    </row>
  </sheetData>
  <mergeCells count="12">
    <mergeCell ref="A1:G1"/>
    <mergeCell ref="A17:G17"/>
    <mergeCell ref="B5:G5"/>
    <mergeCell ref="B9:G9"/>
    <mergeCell ref="A4:G4"/>
    <mergeCell ref="B8:G8"/>
    <mergeCell ref="A2:G2"/>
    <mergeCell ref="A23:G23"/>
    <mergeCell ref="A29:G29"/>
    <mergeCell ref="A11:G11"/>
    <mergeCell ref="B7:G7"/>
    <mergeCell ref="B6:G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65"/>
  <sheetViews>
    <sheetView showGridLines="1" workbookViewId="0">
      <selection activeCell="A1" sqref="A1"/>
    </sheetView>
  </sheetViews>
  <sheetFormatPr baseColWidth="8" defaultRowHeight="15" outlineLevelCol="0"/>
  <cols>
    <col width="34" customWidth="1" min="1" max="1"/>
    <col width="44" customWidth="1" min="2" max="2"/>
    <col width="20" customWidth="1" min="3" max="3"/>
    <col width="28" customWidth="1" min="4" max="4"/>
    <col width="14" customWidth="1" min="5" max="5"/>
    <col width="12" customWidth="1" min="6" max="6"/>
    <col width="18" customWidth="1" min="7" max="7"/>
  </cols>
  <sheetData>
    <row r="1" ht="36" customHeight="1">
      <c r="A1" s="1" t="inlineStr">
        <is>
          <t>MATRIZ DE PUNTOS DE FUNCIÓN NO AJUSTADOS (PFNA) - 7 TABLAS BD</t>
        </is>
      </c>
    </row>
    <row r="2" ht="20" customHeight="1">
      <c r="A2" s="2" t="inlineStr">
        <is>
          <t>Desglose de Altas, Bajas, Modificaciones, Reportes y Archivos para: Alumno, Estado, Pago, Materia, Cursa, Becado, Discapacitado</t>
        </is>
      </c>
    </row>
    <row r="4" ht="24" customHeight="1">
      <c r="A4" s="3" t="inlineStr">
        <is>
          <t>1. ENTRADAS EXTERNAS (EI) - Altas, Bajas y Modificaciones por Tabla</t>
        </is>
      </c>
    </row>
    <row r="5" ht="24" customHeight="1">
      <c r="A5" s="7" t="inlineStr">
        <is>
          <t>Transacción / Entrada</t>
        </is>
      </c>
      <c r="B5" s="7" t="inlineStr">
        <is>
          <t>Descripción del Proceso Elemental</t>
        </is>
      </c>
      <c r="C5" s="7" t="inlineStr">
        <is>
          <t>Archivos Ref. (FTR)</t>
        </is>
      </c>
      <c r="D5" s="7" t="inlineStr">
        <is>
          <t>Campos (DET)</t>
        </is>
      </c>
      <c r="E5" s="7" t="inlineStr">
        <is>
          <t>Complejidad</t>
        </is>
      </c>
      <c r="F5" s="7" t="inlineStr">
        <is>
          <t>Total Ops</t>
        </is>
      </c>
      <c r="G5" s="7" t="inlineStr">
        <is>
          <t>Puntos de Función</t>
        </is>
      </c>
    </row>
    <row r="6" ht="20" customHeight="1">
      <c r="A6" s="5" t="inlineStr">
        <is>
          <t>Alta Alumno</t>
        </is>
      </c>
      <c r="B6" s="5" t="inlineStr">
        <is>
          <t>Registro de nuevo alumno en tabla Alumno con clave de estado</t>
        </is>
      </c>
      <c r="C6" s="8" t="inlineStr">
        <is>
          <t>2 (Alumno, Estado)</t>
        </is>
      </c>
      <c r="D6" s="8" t="inlineStr">
        <is>
          <t>7 (Matrícula, Clave_Estado, Nombre...)</t>
        </is>
      </c>
      <c r="E6" s="8" t="inlineStr">
        <is>
          <t>Medio</t>
        </is>
      </c>
      <c r="F6" s="8" t="n">
        <v>1</v>
      </c>
      <c r="G6" s="8" t="n">
        <v>4</v>
      </c>
    </row>
    <row r="7" ht="20" customHeight="1">
      <c r="A7" s="10" t="inlineStr">
        <is>
          <t>Modificar Alumno</t>
        </is>
      </c>
      <c r="B7" s="10" t="inlineStr">
        <is>
          <t>Actualización de datos personales y estado de procedencia</t>
        </is>
      </c>
      <c r="C7" s="11" t="inlineStr">
        <is>
          <t>2 (Alumno, Estado)</t>
        </is>
      </c>
      <c r="D7" s="11" t="inlineStr">
        <is>
          <t>7 (Nombre, Apellidos, Sexo, Fecha_Nac...)</t>
        </is>
      </c>
      <c r="E7" s="11" t="inlineStr">
        <is>
          <t>Medio</t>
        </is>
      </c>
      <c r="F7" s="11" t="n">
        <v>1</v>
      </c>
      <c r="G7" s="11" t="n">
        <v>4</v>
      </c>
    </row>
    <row r="8" ht="20" customHeight="1">
      <c r="A8" s="5" t="inlineStr">
        <is>
          <t>Baja Alumno</t>
        </is>
      </c>
      <c r="B8" s="5" t="inlineStr">
        <is>
          <t>Eliminación o baja lógica del estudiante</t>
        </is>
      </c>
      <c r="C8" s="8" t="inlineStr">
        <is>
          <t>1 (Alumno)</t>
        </is>
      </c>
      <c r="D8" s="8" t="inlineStr">
        <is>
          <t>1 (Matrícula)</t>
        </is>
      </c>
      <c r="E8" s="8" t="inlineStr">
        <is>
          <t>Bajo</t>
        </is>
      </c>
      <c r="F8" s="8" t="n">
        <v>1</v>
      </c>
      <c r="G8" s="8" t="n">
        <v>3</v>
      </c>
    </row>
    <row r="9" ht="20" customHeight="1">
      <c r="A9" s="10" t="inlineStr">
        <is>
          <t>Alta Estado</t>
        </is>
      </c>
      <c r="B9" s="10" t="inlineStr">
        <is>
          <t>Registro de nueva entidad federativa en catálogo Estado</t>
        </is>
      </c>
      <c r="C9" s="11" t="inlineStr">
        <is>
          <t>1 (Estado)</t>
        </is>
      </c>
      <c r="D9" s="11" t="inlineStr">
        <is>
          <t>2 (Clave_Estado, Nombre_Estado)</t>
        </is>
      </c>
      <c r="E9" s="11" t="inlineStr">
        <is>
          <t>Bajo</t>
        </is>
      </c>
      <c r="F9" s="11" t="n">
        <v>1</v>
      </c>
      <c r="G9" s="11" t="n">
        <v>3</v>
      </c>
    </row>
    <row r="10" ht="20" customHeight="1">
      <c r="A10" s="5" t="inlineStr">
        <is>
          <t>Modificar Estado</t>
        </is>
      </c>
      <c r="B10" s="5" t="inlineStr">
        <is>
          <t>Actualización del nombre de la entidad federativa</t>
        </is>
      </c>
      <c r="C10" s="8" t="inlineStr">
        <is>
          <t>1 (Estado)</t>
        </is>
      </c>
      <c r="D10" s="8" t="inlineStr">
        <is>
          <t>2 (Clave_Estado, Nombre_Estado)</t>
        </is>
      </c>
      <c r="E10" s="8" t="inlineStr">
        <is>
          <t>Bajo</t>
        </is>
      </c>
      <c r="F10" s="8" t="n">
        <v>1</v>
      </c>
      <c r="G10" s="8" t="n">
        <v>3</v>
      </c>
    </row>
    <row r="11" ht="20" customHeight="1">
      <c r="A11" s="10" t="inlineStr">
        <is>
          <t>Baja Estado</t>
        </is>
      </c>
      <c r="B11" s="10" t="inlineStr">
        <is>
          <t>Eliminación de estado no referenciado</t>
        </is>
      </c>
      <c r="C11" s="11" t="inlineStr">
        <is>
          <t>1 (Estado)</t>
        </is>
      </c>
      <c r="D11" s="11" t="inlineStr">
        <is>
          <t>1 (Clave_Estado)</t>
        </is>
      </c>
      <c r="E11" s="11" t="inlineStr">
        <is>
          <t>Bajo</t>
        </is>
      </c>
      <c r="F11" s="11" t="n">
        <v>1</v>
      </c>
      <c r="G11" s="11" t="n">
        <v>3</v>
      </c>
    </row>
    <row r="12" ht="20" customHeight="1">
      <c r="A12" s="5" t="inlineStr">
        <is>
          <t>Registrar Pago</t>
        </is>
      </c>
      <c r="B12" s="5" t="inlineStr">
        <is>
          <t>Captura de transacción de pago asociada al alumno</t>
        </is>
      </c>
      <c r="C12" s="8" t="inlineStr">
        <is>
          <t>2 (Pago, Alumno)</t>
        </is>
      </c>
      <c r="D12" s="8" t="inlineStr">
        <is>
          <t>4 (Número_Pago, Fecha, Concepto, Monto)</t>
        </is>
      </c>
      <c r="E12" s="8" t="inlineStr">
        <is>
          <t>Bajo</t>
        </is>
      </c>
      <c r="F12" s="8" t="n">
        <v>1</v>
      </c>
      <c r="G12" s="8" t="n">
        <v>3</v>
      </c>
    </row>
    <row r="13" ht="20" customHeight="1">
      <c r="A13" s="10" t="inlineStr">
        <is>
          <t>Modificar Pago</t>
        </is>
      </c>
      <c r="B13" s="10" t="inlineStr">
        <is>
          <t>Ajuste o corrección de fecha, concepto o monto de pago</t>
        </is>
      </c>
      <c r="C13" s="11" t="inlineStr">
        <is>
          <t>2 (Pago, Alumno)</t>
        </is>
      </c>
      <c r="D13" s="11" t="inlineStr">
        <is>
          <t>4 (Número_Pago, Fecha, Concepto, Monto)</t>
        </is>
      </c>
      <c r="E13" s="11" t="inlineStr">
        <is>
          <t>Bajo</t>
        </is>
      </c>
      <c r="F13" s="11" t="n">
        <v>1</v>
      </c>
      <c r="G13" s="11" t="n">
        <v>3</v>
      </c>
    </row>
    <row r="14" ht="20" customHeight="1">
      <c r="A14" s="5" t="inlineStr">
        <is>
          <t>Cancelar Pago</t>
        </is>
      </c>
      <c r="B14" s="5" t="inlineStr">
        <is>
          <t>Anulación y baja de comprobante de pago</t>
        </is>
      </c>
      <c r="C14" s="8" t="inlineStr">
        <is>
          <t>1 (Pago)</t>
        </is>
      </c>
      <c r="D14" s="8" t="inlineStr">
        <is>
          <t>1 (Número_Pago)</t>
        </is>
      </c>
      <c r="E14" s="8" t="inlineStr">
        <is>
          <t>Bajo</t>
        </is>
      </c>
      <c r="F14" s="8" t="n">
        <v>1</v>
      </c>
      <c r="G14" s="8" t="n">
        <v>3</v>
      </c>
    </row>
    <row r="15" ht="20" customHeight="1">
      <c r="A15" s="10" t="inlineStr">
        <is>
          <t>Alta Materia</t>
        </is>
      </c>
      <c r="B15" s="10" t="inlineStr">
        <is>
          <t>Registro de asignatura en catálogo Materia</t>
        </is>
      </c>
      <c r="C15" s="11" t="inlineStr">
        <is>
          <t>1 (Materia)</t>
        </is>
      </c>
      <c r="D15" s="11" t="inlineStr">
        <is>
          <t>3 (Clave_Materia, Nombre_Materia, Costo)</t>
        </is>
      </c>
      <c r="E15" s="11" t="inlineStr">
        <is>
          <t>Bajo</t>
        </is>
      </c>
      <c r="F15" s="11" t="n">
        <v>1</v>
      </c>
      <c r="G15" s="11" t="n">
        <v>3</v>
      </c>
    </row>
    <row r="16" ht="20" customHeight="1">
      <c r="A16" s="5" t="inlineStr">
        <is>
          <t>Modificar Materia</t>
        </is>
      </c>
      <c r="B16" s="5" t="inlineStr">
        <is>
          <t>Actualización de nombre y arancel/costo de la materia</t>
        </is>
      </c>
      <c r="C16" s="8" t="inlineStr">
        <is>
          <t>1 (Materia)</t>
        </is>
      </c>
      <c r="D16" s="8" t="inlineStr">
        <is>
          <t>3 (Clave_Materia, Nombre_Materia, Costo)</t>
        </is>
      </c>
      <c r="E16" s="8" t="inlineStr">
        <is>
          <t>Bajo</t>
        </is>
      </c>
      <c r="F16" s="8" t="n">
        <v>1</v>
      </c>
      <c r="G16" s="8" t="n">
        <v>3</v>
      </c>
    </row>
    <row r="17" ht="20" customHeight="1">
      <c r="A17" s="10" t="inlineStr">
        <is>
          <t>Baja Materia</t>
        </is>
      </c>
      <c r="B17" s="10" t="inlineStr">
        <is>
          <t>Eliminación de materia del plan de estudios</t>
        </is>
      </c>
      <c r="C17" s="11" t="inlineStr">
        <is>
          <t>1 (Materia)</t>
        </is>
      </c>
      <c r="D17" s="11" t="inlineStr">
        <is>
          <t>1 (Clave_Materia)</t>
        </is>
      </c>
      <c r="E17" s="11" t="inlineStr">
        <is>
          <t>Bajo</t>
        </is>
      </c>
      <c r="F17" s="11" t="n">
        <v>1</v>
      </c>
      <c r="G17" s="11" t="n">
        <v>3</v>
      </c>
    </row>
    <row r="18" ht="20" customHeight="1">
      <c r="A18" s="5" t="inlineStr">
        <is>
          <t>Inscribir Cursa</t>
        </is>
      </c>
      <c r="B18" s="5" t="inlineStr">
        <is>
          <t>Alta de inscripción académica alumno-materia en Cursa</t>
        </is>
      </c>
      <c r="C18" s="8" t="inlineStr">
        <is>
          <t>2 (Cursa, Materia)</t>
        </is>
      </c>
      <c r="D18" s="8" t="inlineStr">
        <is>
          <t>3 (Matrícula, Clave_Materia, Fecha)</t>
        </is>
      </c>
      <c r="E18" s="8" t="inlineStr">
        <is>
          <t>Bajo</t>
        </is>
      </c>
      <c r="F18" s="8" t="n">
        <v>1</v>
      </c>
      <c r="G18" s="8" t="n">
        <v>3</v>
      </c>
    </row>
    <row r="19" ht="20" customHeight="1">
      <c r="A19" s="10" t="inlineStr">
        <is>
          <t>Modificar Cursa</t>
        </is>
      </c>
      <c r="B19" s="10" t="inlineStr">
        <is>
          <t>Cambio de materia o fecha de inscripción académica</t>
        </is>
      </c>
      <c r="C19" s="11" t="inlineStr">
        <is>
          <t>2 (Cursa, Materia)</t>
        </is>
      </c>
      <c r="D19" s="11" t="inlineStr">
        <is>
          <t>3 (Matrícula, Clave_Materia, Fecha)</t>
        </is>
      </c>
      <c r="E19" s="11" t="inlineStr">
        <is>
          <t>Bajo</t>
        </is>
      </c>
      <c r="F19" s="11" t="n">
        <v>1</v>
      </c>
      <c r="G19" s="11" t="n">
        <v>3</v>
      </c>
    </row>
    <row r="20" ht="20" customHeight="1">
      <c r="A20" s="5" t="inlineStr">
        <is>
          <t>Baja Cursa</t>
        </is>
      </c>
      <c r="B20" s="5" t="inlineStr">
        <is>
          <t>Retiro o desincorporación de materia cursada</t>
        </is>
      </c>
      <c r="C20" s="8" t="inlineStr">
        <is>
          <t>1 (Cursa)</t>
        </is>
      </c>
      <c r="D20" s="8" t="inlineStr">
        <is>
          <t>2 (Matrícula, Clave_Materia)</t>
        </is>
      </c>
      <c r="E20" s="8" t="inlineStr">
        <is>
          <t>Bajo</t>
        </is>
      </c>
      <c r="F20" s="8" t="n">
        <v>1</v>
      </c>
      <c r="G20" s="8" t="n">
        <v>3</v>
      </c>
    </row>
    <row r="21" ht="20" customHeight="1">
      <c r="A21" s="10" t="inlineStr">
        <is>
          <t>Asignar Beca</t>
        </is>
      </c>
      <c r="B21" s="10" t="inlineStr">
        <is>
          <t>Registro de beneficio económico y porcentaje en Becado</t>
        </is>
      </c>
      <c r="C21" s="11" t="inlineStr">
        <is>
          <t>2 (Becado, Alumno)</t>
        </is>
      </c>
      <c r="D21" s="11" t="inlineStr">
        <is>
          <t>3 (Matrícula, Porcentaje, Motivo)</t>
        </is>
      </c>
      <c r="E21" s="11" t="inlineStr">
        <is>
          <t>Bajo</t>
        </is>
      </c>
      <c r="F21" s="11" t="n">
        <v>1</v>
      </c>
      <c r="G21" s="11" t="n">
        <v>3</v>
      </c>
    </row>
    <row r="22" ht="20" customHeight="1">
      <c r="A22" s="5" t="inlineStr">
        <is>
          <t>Modificar Beca</t>
        </is>
      </c>
      <c r="B22" s="5" t="inlineStr">
        <is>
          <t>Actualización de porcentaje de descuento o motivo</t>
        </is>
      </c>
      <c r="C22" s="8" t="inlineStr">
        <is>
          <t>2 (Becado, Alumno)</t>
        </is>
      </c>
      <c r="D22" s="8" t="inlineStr">
        <is>
          <t>3 (Matrícula, Porcentaje, Motivo)</t>
        </is>
      </c>
      <c r="E22" s="8" t="inlineStr">
        <is>
          <t>Bajo</t>
        </is>
      </c>
      <c r="F22" s="8" t="n">
        <v>1</v>
      </c>
      <c r="G22" s="8" t="n">
        <v>3</v>
      </c>
    </row>
    <row r="23" ht="20" customHeight="1">
      <c r="A23" s="10" t="inlineStr">
        <is>
          <t>Eliminar Beca</t>
        </is>
      </c>
      <c r="B23" s="10" t="inlineStr">
        <is>
          <t>Revocación o conclusión de beneficio de beca</t>
        </is>
      </c>
      <c r="C23" s="11" t="inlineStr">
        <is>
          <t>1 (Becado)</t>
        </is>
      </c>
      <c r="D23" s="11" t="inlineStr">
        <is>
          <t>1 (Matrícula)</t>
        </is>
      </c>
      <c r="E23" s="11" t="inlineStr">
        <is>
          <t>Bajo</t>
        </is>
      </c>
      <c r="F23" s="11" t="n">
        <v>1</v>
      </c>
      <c r="G23" s="11" t="n">
        <v>3</v>
      </c>
    </row>
    <row r="24" ht="20" customHeight="1">
      <c r="A24" s="5" t="inlineStr">
        <is>
          <t>Registrar Discapacitado</t>
        </is>
      </c>
      <c r="B24" s="5" t="inlineStr">
        <is>
          <t>Alta de condición especial y aparato ortopédico requerido</t>
        </is>
      </c>
      <c r="C24" s="8" t="inlineStr">
        <is>
          <t>2 (Discapacitado, Alumno)</t>
        </is>
      </c>
      <c r="D24" s="8" t="inlineStr">
        <is>
          <t>3 (Matrícula, Descripción, Aparato)</t>
        </is>
      </c>
      <c r="E24" s="8" t="inlineStr">
        <is>
          <t>Bajo</t>
        </is>
      </c>
      <c r="F24" s="8" t="n">
        <v>1</v>
      </c>
      <c r="G24" s="8" t="n">
        <v>3</v>
      </c>
    </row>
    <row r="25" ht="20" customHeight="1">
      <c r="A25" s="10" t="inlineStr">
        <is>
          <t>Modificar Discapacitado</t>
        </is>
      </c>
      <c r="B25" s="10" t="inlineStr">
        <is>
          <t>Actualización del diagnóstico o aparato de asistencia</t>
        </is>
      </c>
      <c r="C25" s="11" t="inlineStr">
        <is>
          <t>2 (Discapacitado, Alumno)</t>
        </is>
      </c>
      <c r="D25" s="11" t="inlineStr">
        <is>
          <t>3 (Matrícula, Descripción, Aparato)</t>
        </is>
      </c>
      <c r="E25" s="11" t="inlineStr">
        <is>
          <t>Bajo</t>
        </is>
      </c>
      <c r="F25" s="11" t="n">
        <v>1</v>
      </c>
      <c r="G25" s="11" t="n">
        <v>3</v>
      </c>
    </row>
    <row r="26" ht="20" customHeight="1">
      <c r="A26" s="5" t="inlineStr">
        <is>
          <t>Eliminar Discapacitado</t>
        </is>
      </c>
      <c r="B26" s="5" t="inlineStr">
        <is>
          <t>Baja del registro de requerimiento ortopédico</t>
        </is>
      </c>
      <c r="C26" s="8" t="inlineStr">
        <is>
          <t>1 (Discapacitado)</t>
        </is>
      </c>
      <c r="D26" s="8" t="inlineStr">
        <is>
          <t>1 (Matrícula)</t>
        </is>
      </c>
      <c r="E26" s="8" t="inlineStr">
        <is>
          <t>Bajo</t>
        </is>
      </c>
      <c r="F26" s="8" t="n">
        <v>1</v>
      </c>
      <c r="G26" s="8" t="n">
        <v>3</v>
      </c>
    </row>
    <row r="27" ht="22" customHeight="1">
      <c r="A27" s="12" t="inlineStr">
        <is>
          <t>SUBTOTAL 1. ENTRADAS EXTERNAS:</t>
        </is>
      </c>
      <c r="B27" s="13" t="n"/>
      <c r="C27" s="13" t="n"/>
      <c r="D27" s="13" t="n"/>
      <c r="E27" s="13" t="n"/>
      <c r="F27" s="13" t="n"/>
      <c r="G27" s="14">
        <f>SUM(G6:G26)</f>
        <v/>
      </c>
    </row>
    <row r="29" ht="24" customHeight="1">
      <c r="A29" s="3" t="inlineStr">
        <is>
          <t>2. SALIDAS EXTERNAS (EO) - Con Cálculos Matemáticos Derivados</t>
        </is>
      </c>
    </row>
    <row r="30" ht="24" customHeight="1">
      <c r="A30" s="7" t="inlineStr">
        <is>
          <t>Salida / Reporte Derivado</t>
        </is>
      </c>
      <c r="B30" s="7" t="inlineStr">
        <is>
          <t>Descripción del Cálculo y Proceso</t>
        </is>
      </c>
      <c r="C30" s="7" t="inlineStr">
        <is>
          <t>Archivos Ref. (FTR)</t>
        </is>
      </c>
      <c r="D30" s="7" t="inlineStr">
        <is>
          <t>Campos (DET)</t>
        </is>
      </c>
      <c r="E30" s="7" t="inlineStr">
        <is>
          <t>Complejidad</t>
        </is>
      </c>
      <c r="F30" s="7" t="inlineStr">
        <is>
          <t>Total Ops</t>
        </is>
      </c>
      <c r="G30" s="7" t="inlineStr">
        <is>
          <t>Puntos de Función</t>
        </is>
      </c>
    </row>
    <row r="31" ht="20" customHeight="1">
      <c r="A31" s="5" t="inlineStr">
        <is>
          <t>Reporte de Estado de Cuenta y Saldos</t>
        </is>
      </c>
      <c r="B31" s="5" t="inlineStr">
        <is>
          <t>Cálculo de suma de materias inscritas vs pagos efectuados y saldo deudor</t>
        </is>
      </c>
      <c r="C31" s="8" t="inlineStr">
        <is>
          <t>4 (Alumno, Pago, Cursa, Becado)</t>
        </is>
      </c>
      <c r="D31" s="8" t="inlineStr">
        <is>
          <t>8 (Matrícula, Nombre, Total_Cargos, Total_Abonos, Saldo...)</t>
        </is>
      </c>
      <c r="E31" s="8" t="inlineStr">
        <is>
          <t>Alto</t>
        </is>
      </c>
      <c r="F31" s="8" t="n">
        <v>1</v>
      </c>
      <c r="G31" s="8" t="n">
        <v>7</v>
      </c>
    </row>
    <row r="32" ht="20" customHeight="1">
      <c r="A32" s="10" t="inlineStr">
        <is>
          <t>Carga Académica con Costos</t>
        </is>
      </c>
      <c r="B32" s="10" t="inlineStr">
        <is>
          <t>Liquidación arancelaria de materias cursadas con deducción porcentual de beca</t>
        </is>
      </c>
      <c r="C32" s="11" t="inlineStr">
        <is>
          <t>3 (Cursa, Materia, Becado)</t>
        </is>
      </c>
      <c r="D32" s="11" t="inlineStr">
        <is>
          <t>7 (Matrícula, Materias, Costo_Base, Beca_Desc, Total_Pagar...)</t>
        </is>
      </c>
      <c r="E32" s="11" t="inlineStr">
        <is>
          <t>Medio</t>
        </is>
      </c>
      <c r="F32" s="11" t="n">
        <v>1</v>
      </c>
      <c r="G32" s="11" t="n">
        <v>5</v>
      </c>
    </row>
    <row r="33" ht="20" customHeight="1">
      <c r="A33" s="5" t="inlineStr">
        <is>
          <t>Informe Estadístico de Becas</t>
        </is>
      </c>
      <c r="B33" s="5" t="inlineStr">
        <is>
          <t>Cálculo del monto total subsidiado por la institución y porcentaje promedio</t>
        </is>
      </c>
      <c r="C33" s="8" t="inlineStr">
        <is>
          <t>3 (Becado, Pago, Alumno)</t>
        </is>
      </c>
      <c r="D33" s="8" t="inlineStr">
        <is>
          <t>6 (Motivo, Alumnos_Beneficiados, Descuento_Promedio, Subsidio...)</t>
        </is>
      </c>
      <c r="E33" s="8" t="inlineStr">
        <is>
          <t>Medio</t>
        </is>
      </c>
      <c r="F33" s="8" t="n">
        <v>1</v>
      </c>
      <c r="G33" s="8" t="n">
        <v>5</v>
      </c>
    </row>
    <row r="34" ht="20" customHeight="1">
      <c r="A34" s="10" t="inlineStr">
        <is>
          <t>Reporte Financiero de Ingresos</t>
        </is>
      </c>
      <c r="B34" s="10" t="inlineStr">
        <is>
          <t>Consolidado de cobros realizados por periodo, cálculo de IVA y balance general</t>
        </is>
      </c>
      <c r="C34" s="11" t="inlineStr">
        <is>
          <t>3 (Pago, Cursa, Materia)</t>
        </is>
      </c>
      <c r="D34" s="11" t="inlineStr">
        <is>
          <t>6 (Periodo, Total_Recaudado, Pagos_Emitidos, Promedio_Pago...)</t>
        </is>
      </c>
      <c r="E34" s="11" t="inlineStr">
        <is>
          <t>Medio</t>
        </is>
      </c>
      <c r="F34" s="11" t="n">
        <v>1</v>
      </c>
      <c r="G34" s="11" t="n">
        <v>5</v>
      </c>
    </row>
    <row r="35" ht="22" customHeight="1">
      <c r="A35" s="12" t="inlineStr">
        <is>
          <t>SUBTOTAL 2. SALIDAS EXTERNAS:</t>
        </is>
      </c>
      <c r="B35" s="13" t="n"/>
      <c r="C35" s="13" t="n"/>
      <c r="D35" s="13" t="n"/>
      <c r="E35" s="13" t="n"/>
      <c r="F35" s="13" t="n"/>
      <c r="G35" s="14">
        <f>SUM(G31:G34)</f>
        <v/>
      </c>
    </row>
    <row r="37" ht="24" customHeight="1">
      <c r="A37" s="3" t="inlineStr">
        <is>
          <t>3. PETICIONES / CONSULTAS EXTERNAS (EQ) - Sin Cálculos Derivados</t>
        </is>
      </c>
    </row>
    <row r="38" ht="24" customHeight="1">
      <c r="A38" s="7" t="inlineStr">
        <is>
          <t>Petición / Consulta Directa</t>
        </is>
      </c>
      <c r="B38" s="7" t="inlineStr">
        <is>
          <t>Descripción de la Consulta</t>
        </is>
      </c>
      <c r="C38" s="7" t="inlineStr">
        <is>
          <t>Archivos Ref. (FTR)</t>
        </is>
      </c>
      <c r="D38" s="7" t="inlineStr">
        <is>
          <t>Campos (DET)</t>
        </is>
      </c>
      <c r="E38" s="7" t="inlineStr">
        <is>
          <t>Complejidad</t>
        </is>
      </c>
      <c r="F38" s="7" t="inlineStr">
        <is>
          <t>Total Ops</t>
        </is>
      </c>
      <c r="G38" s="7" t="inlineStr">
        <is>
          <t>Puntos de Función</t>
        </is>
      </c>
    </row>
    <row r="39" ht="20" customHeight="1">
      <c r="A39" s="5" t="inlineStr">
        <is>
          <t>Consulta de Alumno por Matrícula</t>
        </is>
      </c>
      <c r="B39" s="5" t="inlineStr">
        <is>
          <t>Búsqueda directa del expediente del alumno y nombre del estado de procedencia</t>
        </is>
      </c>
      <c r="C39" s="8" t="inlineStr">
        <is>
          <t>2 (Alumno, Estado)</t>
        </is>
      </c>
      <c r="D39" s="8" t="inlineStr">
        <is>
          <t>7 (Matrícula, Nombre, Apellidos, Sexo, Estado...)</t>
        </is>
      </c>
      <c r="E39" s="8" t="inlineStr">
        <is>
          <t>Medio</t>
        </is>
      </c>
      <c r="F39" s="8" t="n">
        <v>1</v>
      </c>
      <c r="G39" s="8" t="n">
        <v>4</v>
      </c>
    </row>
    <row r="40" ht="20" customHeight="1">
      <c r="A40" s="10" t="inlineStr">
        <is>
          <t>Catálogo de Materias</t>
        </is>
      </c>
      <c r="B40" s="10" t="inlineStr">
        <is>
          <t>Listado directo de materias activas y sus aranceles asignados</t>
        </is>
      </c>
      <c r="C40" s="11" t="inlineStr">
        <is>
          <t>1 (Materia)</t>
        </is>
      </c>
      <c r="D40" s="11" t="inlineStr">
        <is>
          <t>3 (Clave_Materia, Nombre_Materia, Costo)</t>
        </is>
      </c>
      <c r="E40" s="11" t="inlineStr">
        <is>
          <t>Bajo</t>
        </is>
      </c>
      <c r="F40" s="11" t="n">
        <v>1</v>
      </c>
      <c r="G40" s="11" t="n">
        <v>3</v>
      </c>
    </row>
    <row r="41" ht="20" customHeight="1">
      <c r="A41" s="5" t="inlineStr">
        <is>
          <t>Historial de Pagos de Alumno</t>
        </is>
      </c>
      <c r="B41" s="5" t="inlineStr">
        <is>
          <t>Listado cronológico de recibos emitidos por estudiante</t>
        </is>
      </c>
      <c r="C41" s="8" t="inlineStr">
        <is>
          <t>2 (Pago, Alumno)</t>
        </is>
      </c>
      <c r="D41" s="8" t="inlineStr">
        <is>
          <t>4 (Número_Pago, Fecha, Concepto, Monto)</t>
        </is>
      </c>
      <c r="E41" s="8" t="inlineStr">
        <is>
          <t>Bajo</t>
        </is>
      </c>
      <c r="F41" s="8" t="n">
        <v>1</v>
      </c>
      <c r="G41" s="8" t="n">
        <v>3</v>
      </c>
    </row>
    <row r="42" ht="20" customHeight="1">
      <c r="A42" s="10" t="inlineStr">
        <is>
          <t>Padrón de Alumnos Becados</t>
        </is>
      </c>
      <c r="B42" s="10" t="inlineStr">
        <is>
          <t>Consulta directa de estudiantes con beca y motivo asignado</t>
        </is>
      </c>
      <c r="C42" s="11" t="inlineStr">
        <is>
          <t>2 (Becado, Alumno)</t>
        </is>
      </c>
      <c r="D42" s="11" t="inlineStr">
        <is>
          <t>4 (Matrícula, Nombre_Alumno, Porcentaje, Motivo)</t>
        </is>
      </c>
      <c r="E42" s="11" t="inlineStr">
        <is>
          <t>Bajo</t>
        </is>
      </c>
      <c r="F42" s="11" t="n">
        <v>1</v>
      </c>
      <c r="G42" s="11" t="n">
        <v>3</v>
      </c>
    </row>
    <row r="43" ht="20" customHeight="1">
      <c r="A43" s="5" t="inlineStr">
        <is>
          <t>Padrón de Alumnos Discapacitados</t>
        </is>
      </c>
      <c r="B43" s="5" t="inlineStr">
        <is>
          <t>Consulta directa de estudiantes con necesidades y aparatos ortopédicos</t>
        </is>
      </c>
      <c r="C43" s="8" t="inlineStr">
        <is>
          <t>2 (Discapacitado, Alumno)</t>
        </is>
      </c>
      <c r="D43" s="8" t="inlineStr">
        <is>
          <t>4 (Matrícula, Nombre_Alumno, Discapacidad, Aparato)</t>
        </is>
      </c>
      <c r="E43" s="8" t="inlineStr">
        <is>
          <t>Bajo</t>
        </is>
      </c>
      <c r="F43" s="8" t="n">
        <v>1</v>
      </c>
      <c r="G43" s="8" t="n">
        <v>3</v>
      </c>
    </row>
    <row r="44" ht="20" customHeight="1">
      <c r="A44" s="10" t="inlineStr">
        <is>
          <t>Catálogo de Estados</t>
        </is>
      </c>
      <c r="B44" s="10" t="inlineStr">
        <is>
          <t>Consulta directa de estados de la república registrados</t>
        </is>
      </c>
      <c r="C44" s="11" t="inlineStr">
        <is>
          <t>1 (Estado)</t>
        </is>
      </c>
      <c r="D44" s="11" t="inlineStr">
        <is>
          <t>2 (Clave_Estado, Nombre_Estado)</t>
        </is>
      </c>
      <c r="E44" s="11" t="inlineStr">
        <is>
          <t>Bajo</t>
        </is>
      </c>
      <c r="F44" s="11" t="n">
        <v>1</v>
      </c>
      <c r="G44" s="11" t="n">
        <v>3</v>
      </c>
    </row>
    <row r="45" ht="20" customHeight="1">
      <c r="A45" s="5" t="inlineStr">
        <is>
          <t>Consulta de Cursa por Estudiante</t>
        </is>
      </c>
      <c r="B45" s="5" t="inlineStr">
        <is>
          <t>Listado de materias en las que está inscrito el estudiante</t>
        </is>
      </c>
      <c r="C45" s="8" t="inlineStr">
        <is>
          <t>2 (Cursa, Materia)</t>
        </is>
      </c>
      <c r="D45" s="8" t="inlineStr">
        <is>
          <t>4 (Matrícula, Clave_Materia, Nombre_Materia, Fecha)</t>
        </is>
      </c>
      <c r="E45" s="8" t="inlineStr">
        <is>
          <t>Bajo</t>
        </is>
      </c>
      <c r="F45" s="8" t="n">
        <v>1</v>
      </c>
      <c r="G45" s="8" t="n">
        <v>3</v>
      </c>
    </row>
    <row r="46" ht="22" customHeight="1">
      <c r="A46" s="12" t="inlineStr">
        <is>
          <t>SUBTOTAL 3. PETICIONES / CONSULTAS EXTERNAS:</t>
        </is>
      </c>
      <c r="B46" s="13" t="n"/>
      <c r="C46" s="13" t="n"/>
      <c r="D46" s="13" t="n"/>
      <c r="E46" s="13" t="n"/>
      <c r="F46" s="13" t="n"/>
      <c r="G46" s="14">
        <f>SUM(G39:G45)</f>
        <v/>
      </c>
    </row>
    <row r="48" ht="24" customHeight="1">
      <c r="A48" s="3" t="inlineStr">
        <is>
          <t>4. ARCHIVOS LÓGICOS INTERNOS (ILF) - Mapeo de las 7 Tablas de la BD</t>
        </is>
      </c>
    </row>
    <row r="49" ht="24" customHeight="1">
      <c r="A49" s="7" t="inlineStr">
        <is>
          <t>Tabla de Base de Datos</t>
        </is>
      </c>
      <c r="B49" s="7" t="inlineStr">
        <is>
          <t>Propósito Funcional en el Sistema</t>
        </is>
      </c>
      <c r="C49" s="7" t="inlineStr">
        <is>
          <t>Registros (RET)</t>
        </is>
      </c>
      <c r="D49" s="7" t="inlineStr">
        <is>
          <t>Campos de la Tabla (DET)</t>
        </is>
      </c>
      <c r="E49" s="7" t="inlineStr">
        <is>
          <t>Complejidad</t>
        </is>
      </c>
      <c r="F49" s="7" t="inlineStr">
        <is>
          <t>Total Ops</t>
        </is>
      </c>
      <c r="G49" s="7" t="inlineStr">
        <is>
          <t>Puntos de Función</t>
        </is>
      </c>
    </row>
    <row r="50" ht="20" customHeight="1">
      <c r="A50" s="5" t="inlineStr">
        <is>
          <t>1. Tabla: Alumno</t>
        </is>
      </c>
      <c r="B50" s="5" t="inlineStr">
        <is>
          <t>Almacena los datos maestros y de identidad del estudiante</t>
        </is>
      </c>
      <c r="C50" s="8" t="inlineStr">
        <is>
          <t>1 (Registro Alumno)</t>
        </is>
      </c>
      <c r="D50" s="8" t="inlineStr">
        <is>
          <t>7 (Matrícula, Clave_Estado, Nombre, Ap_Pat, Ap_Mat, Sexo, Fecha_Nac)</t>
        </is>
      </c>
      <c r="E50" s="8" t="inlineStr">
        <is>
          <t>Bajo</t>
        </is>
      </c>
      <c r="F50" s="8" t="n">
        <v>1</v>
      </c>
      <c r="G50" s="8" t="n">
        <v>7</v>
      </c>
    </row>
    <row r="51" ht="20" customHeight="1">
      <c r="A51" s="10" t="inlineStr">
        <is>
          <t>2. Tabla: Estado</t>
        </is>
      </c>
      <c r="B51" s="10" t="inlineStr">
        <is>
          <t>Catálogo maestro de entidades federativas</t>
        </is>
      </c>
      <c r="C51" s="11" t="inlineStr">
        <is>
          <t>1 (Registro Estado)</t>
        </is>
      </c>
      <c r="D51" s="11" t="inlineStr">
        <is>
          <t>2 (Clave_Estado, Nombre_Estado)</t>
        </is>
      </c>
      <c r="E51" s="11" t="inlineStr">
        <is>
          <t>Bajo</t>
        </is>
      </c>
      <c r="F51" s="11" t="n">
        <v>1</v>
      </c>
      <c r="G51" s="11" t="n">
        <v>7</v>
      </c>
    </row>
    <row r="52" ht="20" customHeight="1">
      <c r="A52" s="5" t="inlineStr">
        <is>
          <t>3. Tabla: Pago</t>
        </is>
      </c>
      <c r="B52" s="5" t="inlineStr">
        <is>
          <t>Registro transaccional de pagos escolares efectuados</t>
        </is>
      </c>
      <c r="C52" s="8" t="inlineStr">
        <is>
          <t>1 (Registro Pago)</t>
        </is>
      </c>
      <c r="D52" s="8" t="inlineStr">
        <is>
          <t>4 (Número_Pago, Fecha, Concepto, Monto)</t>
        </is>
      </c>
      <c r="E52" s="8" t="inlineStr">
        <is>
          <t>Bajo</t>
        </is>
      </c>
      <c r="F52" s="8" t="n">
        <v>1</v>
      </c>
      <c r="G52" s="8" t="n">
        <v>7</v>
      </c>
    </row>
    <row r="53" ht="20" customHeight="1">
      <c r="A53" s="10" t="inlineStr">
        <is>
          <t>4. Tabla: Materia</t>
        </is>
      </c>
      <c r="B53" s="10" t="inlineStr">
        <is>
          <t>Catálogo de asignaturas curriculares y costos</t>
        </is>
      </c>
      <c r="C53" s="11" t="inlineStr">
        <is>
          <t>1 (Registro Materia)</t>
        </is>
      </c>
      <c r="D53" s="11" t="inlineStr">
        <is>
          <t>3 (Clave_Materia, Nombre_Materia, Costo)</t>
        </is>
      </c>
      <c r="E53" s="11" t="inlineStr">
        <is>
          <t>Bajo</t>
        </is>
      </c>
      <c r="F53" s="11" t="n">
        <v>1</v>
      </c>
      <c r="G53" s="11" t="n">
        <v>7</v>
      </c>
    </row>
    <row r="54" ht="20" customHeight="1">
      <c r="A54" s="5" t="inlineStr">
        <is>
          <t>5. Tabla: Cursa</t>
        </is>
      </c>
      <c r="B54" s="5" t="inlineStr">
        <is>
          <t>Entidad de relación muchos a muchos de inscripciones</t>
        </is>
      </c>
      <c r="C54" s="8" t="inlineStr">
        <is>
          <t>1 (Registro Cursa)</t>
        </is>
      </c>
      <c r="D54" s="8" t="inlineStr">
        <is>
          <t>3 (Matrícula, Clave_Materia, Fecha)</t>
        </is>
      </c>
      <c r="E54" s="8" t="inlineStr">
        <is>
          <t>Bajo</t>
        </is>
      </c>
      <c r="F54" s="8" t="n">
        <v>1</v>
      </c>
      <c r="G54" s="8" t="n">
        <v>7</v>
      </c>
    </row>
    <row r="55" ht="20" customHeight="1">
      <c r="A55" s="10" t="inlineStr">
        <is>
          <t>6. Tabla: Becado</t>
        </is>
      </c>
      <c r="B55" s="10" t="inlineStr">
        <is>
          <t>Entidad de soporte de asignación de becas y porcentajes</t>
        </is>
      </c>
      <c r="C55" s="11" t="inlineStr">
        <is>
          <t>1 (Registro Becado)</t>
        </is>
      </c>
      <c r="D55" s="11" t="inlineStr">
        <is>
          <t>3 (Matrícula, Porcentaje_descuento, Motivo_beca)</t>
        </is>
      </c>
      <c r="E55" s="11" t="inlineStr">
        <is>
          <t>Bajo</t>
        </is>
      </c>
      <c r="F55" s="11" t="n">
        <v>1</v>
      </c>
      <c r="G55" s="11" t="n">
        <v>7</v>
      </c>
    </row>
    <row r="56" ht="20" customHeight="1">
      <c r="A56" s="5" t="inlineStr">
        <is>
          <t>7. Tabla: Discapacitado</t>
        </is>
      </c>
      <c r="B56" s="5" t="inlineStr">
        <is>
          <t>Entidad de soporte de requerimientos y asistencia ortopédica</t>
        </is>
      </c>
      <c r="C56" s="8" t="inlineStr">
        <is>
          <t>1 (Registro Discapacitado)</t>
        </is>
      </c>
      <c r="D56" s="8" t="inlineStr">
        <is>
          <t>3 (Matrícula, Descripción_discapacidad, Aparato_ortopédico)</t>
        </is>
      </c>
      <c r="E56" s="8" t="inlineStr">
        <is>
          <t>Bajo</t>
        </is>
      </c>
      <c r="F56" s="8" t="n">
        <v>1</v>
      </c>
      <c r="G56" s="8" t="n">
        <v>7</v>
      </c>
    </row>
    <row r="57" ht="22" customHeight="1">
      <c r="A57" s="12" t="inlineStr">
        <is>
          <t>SUBTOTAL 4. ARCHIVOS LÓGICOS INTERNOS:</t>
        </is>
      </c>
      <c r="B57" s="13" t="n"/>
      <c r="C57" s="13" t="n"/>
      <c r="D57" s="13" t="n"/>
      <c r="E57" s="13" t="n"/>
      <c r="F57" s="13" t="n"/>
      <c r="G57" s="14">
        <f>SUM(G50:G56)</f>
        <v/>
      </c>
    </row>
    <row r="59" ht="24" customHeight="1">
      <c r="A59" s="3" t="inlineStr">
        <is>
          <t>5. ARCHIVOS DE INTERFAZ EXTERNA (EIF) - Integraciones Externas</t>
        </is>
      </c>
    </row>
    <row r="60" ht="24" customHeight="1">
      <c r="A60" s="7" t="inlineStr">
        <is>
          <t>Interfaz / Catálogo Externo</t>
        </is>
      </c>
      <c r="B60" s="7" t="inlineStr">
        <is>
          <t>Propósito de Interoperabilidad</t>
        </is>
      </c>
      <c r="C60" s="7" t="inlineStr">
        <is>
          <t>Registros (RET)</t>
        </is>
      </c>
      <c r="D60" s="7" t="inlineStr">
        <is>
          <t>Campos Consultados (DET)</t>
        </is>
      </c>
      <c r="E60" s="7" t="inlineStr">
        <is>
          <t>Complejidad</t>
        </is>
      </c>
      <c r="F60" s="7" t="inlineStr">
        <is>
          <t>Total Ops</t>
        </is>
      </c>
      <c r="G60" s="7" t="inlineStr">
        <is>
          <t>Puntos de Función</t>
        </is>
      </c>
    </row>
    <row r="61" ht="20" customHeight="1">
      <c r="A61" s="5" t="inlineStr">
        <is>
          <t>Validación Ciudadana (RENAPO)</t>
        </is>
      </c>
      <c r="B61" s="5" t="inlineStr">
        <is>
          <t>Servicio externo de validación de identidad y estado civil</t>
        </is>
      </c>
      <c r="C61" s="8" t="inlineStr">
        <is>
          <t>1 (Registro Ciudadano)</t>
        </is>
      </c>
      <c r="D61" s="8" t="inlineStr">
        <is>
          <t>4 (CURP, Nombre, Estado, Estatus)</t>
        </is>
      </c>
      <c r="E61" s="8" t="inlineStr">
        <is>
          <t>Bajo</t>
        </is>
      </c>
      <c r="F61" s="8" t="n">
        <v>1</v>
      </c>
      <c r="G61" s="8" t="n">
        <v>5</v>
      </c>
    </row>
    <row r="62" ht="20" customHeight="1">
      <c r="A62" s="10" t="inlineStr">
        <is>
          <t>Catálogo Homologado (SEJ / DGB)</t>
        </is>
      </c>
      <c r="B62" s="10" t="inlineStr">
        <is>
          <t>Servicio externo de validación de claves y programas académicos</t>
        </is>
      </c>
      <c r="C62" s="11" t="inlineStr">
        <is>
          <t>1 (Plan Curricular)</t>
        </is>
      </c>
      <c r="D62" s="11" t="inlineStr">
        <is>
          <t>3 (Clave_Oficial, Nombre, Validez)</t>
        </is>
      </c>
      <c r="E62" s="11" t="inlineStr">
        <is>
          <t>Bajo</t>
        </is>
      </c>
      <c r="F62" s="11" t="n">
        <v>1</v>
      </c>
      <c r="G62" s="11" t="n">
        <v>5</v>
      </c>
    </row>
    <row r="63" ht="22" customHeight="1">
      <c r="A63" s="12" t="inlineStr">
        <is>
          <t>SUBTOTAL 5. ARCHIVOS DE INTERFAZ EXTERNA:</t>
        </is>
      </c>
      <c r="B63" s="13" t="n"/>
      <c r="C63" s="13" t="n"/>
      <c r="D63" s="13" t="n"/>
      <c r="E63" s="13" t="n"/>
      <c r="F63" s="13" t="n"/>
      <c r="G63" s="14">
        <f>SUM(G61:G62)</f>
        <v/>
      </c>
    </row>
    <row r="65" ht="28" customHeight="1">
      <c r="A65" s="15" t="inlineStr">
        <is>
          <t>TOTAL GENERAL DE PUNTOS DE FUNCIÓN NO AJUSTADOS (PFNA):</t>
        </is>
      </c>
      <c r="B65" s="16" t="n"/>
      <c r="C65" s="16" t="n"/>
      <c r="D65" s="16" t="n"/>
      <c r="E65" s="16" t="n"/>
      <c r="F65" s="16" t="n"/>
      <c r="G65" s="17">
        <f>G27+G35+G46+G57+G63</f>
        <v/>
      </c>
    </row>
  </sheetData>
  <mergeCells count="13">
    <mergeCell ref="A63:F63"/>
    <mergeCell ref="A1:G1"/>
    <mergeCell ref="A46:F46"/>
    <mergeCell ref="A27:F27"/>
    <mergeCell ref="A4:G4"/>
    <mergeCell ref="A48:G48"/>
    <mergeCell ref="A2:G2"/>
    <mergeCell ref="A29:G29"/>
    <mergeCell ref="A35:F35"/>
    <mergeCell ref="A59:G59"/>
    <mergeCell ref="A57:F57"/>
    <mergeCell ref="A65:F65"/>
    <mergeCell ref="A37:G3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36" customWidth="1" min="2" max="2"/>
    <col width="26" customWidth="1" min="3" max="3"/>
    <col width="20" customWidth="1" min="4" max="4"/>
    <col width="64" customWidth="1" min="5" max="5"/>
  </cols>
  <sheetData>
    <row r="1" ht="36" customHeight="1">
      <c r="A1" s="1" t="inlineStr">
        <is>
          <t>CÁLCULO DE PUNTOS DE FUNCIÓN AJUSTADOS (PFA) - MODELO DE ALBRECHT</t>
        </is>
      </c>
    </row>
    <row r="2" ht="20" customHeight="1">
      <c r="A2" s="2" t="inlineStr">
        <is>
          <t>Evaluación de los 14 Factores de Ajuste (GSC) | Fórmula: PFA = PFNA * [ 0.65 + 0.01 * SUM(Fi) ]</t>
        </is>
      </c>
    </row>
    <row r="4" ht="24" customHeight="1">
      <c r="A4" s="7" t="inlineStr">
        <is>
          <t>N°</t>
        </is>
      </c>
      <c r="B4" s="7" t="inlineStr">
        <is>
          <t>Factor General del Sistema (Albrecht / GSC)</t>
        </is>
      </c>
      <c r="C4" s="7" t="inlineStr">
        <is>
          <t>Nivel de Influencia (0 - 5)</t>
        </is>
      </c>
      <c r="D4" s="7" t="inlineStr">
        <is>
          <t>Puntaje (Fi)</t>
        </is>
      </c>
      <c r="E4" s="7" t="inlineStr">
        <is>
          <t>Justificación Técnica en el Sistema Académico</t>
        </is>
      </c>
    </row>
    <row r="5" ht="20" customHeight="1">
      <c r="A5" s="8" t="inlineStr">
        <is>
          <t>F1</t>
        </is>
      </c>
      <c r="B5" s="5" t="inlineStr">
        <is>
          <t>¿Se requieren comunicaciones de datos?</t>
        </is>
      </c>
      <c r="C5" s="8" t="inlineStr">
        <is>
          <t>4 - Significativo</t>
        </is>
      </c>
      <c r="D5" s="8" t="n">
        <v>4</v>
      </c>
      <c r="E5" s="5" t="inlineStr">
        <is>
          <t>Arquitectura web con endpoints REST y sincronización HTTPS hacia la base de datos.</t>
        </is>
      </c>
    </row>
    <row r="6" ht="20" customHeight="1">
      <c r="A6" s="11" t="inlineStr">
        <is>
          <t>F2</t>
        </is>
      </c>
      <c r="B6" s="10" t="inlineStr">
        <is>
          <t>¿Existen funciones de procesamiento distribuido?</t>
        </is>
      </c>
      <c r="C6" s="11" t="inlineStr">
        <is>
          <t>3 - Moderado</t>
        </is>
      </c>
      <c r="D6" s="11" t="n">
        <v>3</v>
      </c>
      <c r="E6" s="10" t="inlineStr">
        <is>
          <t>Validación y procesamiento dividido entre servidor backend y lógica interactiva de interfaz.</t>
        </is>
      </c>
    </row>
    <row r="7" ht="20" customHeight="1">
      <c r="A7" s="8" t="inlineStr">
        <is>
          <t>F3</t>
        </is>
      </c>
      <c r="B7" s="5" t="inlineStr">
        <is>
          <t>¿Es crítico el rendimiento y performance?</t>
        </is>
      </c>
      <c r="C7" s="8" t="inlineStr">
        <is>
          <t>4 - Significativo</t>
        </is>
      </c>
      <c r="D7" s="8" t="n">
        <v>4</v>
      </c>
      <c r="E7" s="5" t="inlineStr">
        <is>
          <t>Tiempos de respuesta estrictos en cobros de caja, altas de inscripción y consultas de sábanas.</t>
        </is>
      </c>
    </row>
    <row r="8" ht="20" customHeight="1">
      <c r="A8" s="11" t="inlineStr">
        <is>
          <t>F4</t>
        </is>
      </c>
      <c r="B8" s="10" t="inlineStr">
        <is>
          <t>¿Será ejecutado en un entorno fuertemente utilizado?</t>
        </is>
      </c>
      <c r="C8" s="11" t="inlineStr">
        <is>
          <t>3 - Moderado</t>
        </is>
      </c>
      <c r="D8" s="11" t="n">
        <v>3</v>
      </c>
      <c r="E8" s="10" t="inlineStr">
        <is>
          <t>Operación continua con alta concurrencia en servidor local y respaldo cloud.</t>
        </is>
      </c>
    </row>
    <row r="9" ht="20" customHeight="1">
      <c r="A9" s="8" t="inlineStr">
        <is>
          <t>F5</t>
        </is>
      </c>
      <c r="B9" s="5" t="inlineStr">
        <is>
          <t>¿El volumen de transacciones es elevado?</t>
        </is>
      </c>
      <c r="C9" s="8" t="inlineStr">
        <is>
          <t>4 - Significativo</t>
        </is>
      </c>
      <c r="D9" s="8" t="n">
        <v>4</v>
      </c>
      <c r="E9" s="5" t="inlineStr">
        <is>
          <t>Picos intensivos durante aperturas de periodos de inscripción y pagos de colegiaturas.</t>
        </is>
      </c>
    </row>
    <row r="10" ht="20" customHeight="1">
      <c r="A10" s="11" t="inlineStr">
        <is>
          <t>F6</t>
        </is>
      </c>
      <c r="B10" s="10" t="inlineStr">
        <is>
          <t>¿Requiere entrada de datos interactiva en línea?</t>
        </is>
      </c>
      <c r="C10" s="11" t="inlineStr">
        <is>
          <t>5 - Esencial</t>
        </is>
      </c>
      <c r="D10" s="11" t="n">
        <v>5</v>
      </c>
      <c r="E10" s="10" t="inlineStr">
        <is>
          <t>El 100% de las operaciones de alumnos, becas, discapacidades y cobros se realiza en línea.</t>
        </is>
      </c>
    </row>
    <row r="11" ht="20" customHeight="1">
      <c r="A11" s="8" t="inlineStr">
        <is>
          <t>F7</t>
        </is>
      </c>
      <c r="B11" s="5" t="inlineStr">
        <is>
          <t>¿Requiere transacciones sobre múltiples pantallas?</t>
        </is>
      </c>
      <c r="C11" s="8" t="inlineStr">
        <is>
          <t>4 - Significativo</t>
        </is>
      </c>
      <c r="D11" s="8" t="n">
        <v>4</v>
      </c>
      <c r="E11" s="5" t="inlineStr">
        <is>
          <t>Múltiples vistas y pestañas operativas (kardex, materias cursadas, recibos de pago).</t>
        </is>
      </c>
    </row>
    <row r="12" ht="20" customHeight="1">
      <c r="A12" s="11" t="inlineStr">
        <is>
          <t>F8</t>
        </is>
      </c>
      <c r="B12" s="10" t="inlineStr">
        <is>
          <t>¿Se actualizan los archivos maestros de forma interactiva?</t>
        </is>
      </c>
      <c r="C12" s="11" t="inlineStr">
        <is>
          <t>4 - Significativo</t>
        </is>
      </c>
      <c r="D12" s="11" t="n">
        <v>4</v>
      </c>
      <c r="E12" s="10" t="inlineStr">
        <is>
          <t>Las tablas principales (Alumno, Pago, Cursa) se actualizan en tiempo real con integridad.</t>
        </is>
      </c>
    </row>
    <row r="13" ht="20" customHeight="1">
      <c r="A13" s="8" t="inlineStr">
        <is>
          <t>F9</t>
        </is>
      </c>
      <c r="B13" s="5" t="inlineStr">
        <is>
          <t>¿Son complejas las entradas, salidas, archivos o peticiones?</t>
        </is>
      </c>
      <c r="C13" s="8" t="inlineStr">
        <is>
          <t>3 - Moderado</t>
        </is>
      </c>
      <c r="D13" s="8" t="n">
        <v>3</v>
      </c>
      <c r="E13" s="5" t="inlineStr">
        <is>
          <t>Validación cruzada de estados, porcentaje de becas y deducciones arancelarias.</t>
        </is>
      </c>
    </row>
    <row r="14" ht="20" customHeight="1">
      <c r="A14" s="11" t="inlineStr">
        <is>
          <t>F10</t>
        </is>
      </c>
      <c r="B14" s="10" t="inlineStr">
        <is>
          <t>¿Es complejo el procesamiento interno?</t>
        </is>
      </c>
      <c r="C14" s="11" t="inlineStr">
        <is>
          <t>3 - Moderado</t>
        </is>
      </c>
      <c r="D14" s="11" t="n">
        <v>3</v>
      </c>
      <c r="E14" s="10" t="inlineStr">
        <is>
          <t>Cálculo de saldos, liquidación de becas y balance financiero por alumno.</t>
        </is>
      </c>
    </row>
    <row r="15" ht="20" customHeight="1">
      <c r="A15" s="8" t="inlineStr">
        <is>
          <t>F11</t>
        </is>
      </c>
      <c r="B15" s="5" t="inlineStr">
        <is>
          <t>¿Se ha diseñado el código para ser reutilizable?</t>
        </is>
      </c>
      <c r="C15" s="8" t="inlineStr">
        <is>
          <t>4 - Significativo</t>
        </is>
      </c>
      <c r="D15" s="8" t="n">
        <v>4</v>
      </c>
      <c r="E15" s="5" t="inlineStr">
        <is>
          <t>Módulos de arquitectura desacoplada, controladores reutilizables y librerías estandarizadas.</t>
        </is>
      </c>
    </row>
    <row r="16" ht="20" customHeight="1">
      <c r="A16" s="11" t="inlineStr">
        <is>
          <t>F12</t>
        </is>
      </c>
      <c r="B16" s="10" t="inlineStr">
        <is>
          <t>¿Están incluidas la conversión y la instalación en el diseño?</t>
        </is>
      </c>
      <c r="C16" s="11" t="inlineStr">
        <is>
          <t>3 - Moderado</t>
        </is>
      </c>
      <c r="D16" s="11" t="n">
        <v>3</v>
      </c>
      <c r="E16" s="10" t="inlineStr">
        <is>
          <t>Scripts SQL DDL/DML automatizados y rutinas de migración de datos.</t>
        </is>
      </c>
    </row>
    <row r="17" ht="20" customHeight="1">
      <c r="A17" s="8" t="inlineStr">
        <is>
          <t>F13</t>
        </is>
      </c>
      <c r="B17" s="5" t="inlineStr">
        <is>
          <t>¿Se ha diseñado para soportar múltiples instalaciones?</t>
        </is>
      </c>
      <c r="C17" s="8" t="inlineStr">
        <is>
          <t>4 - Significativo</t>
        </is>
      </c>
      <c r="D17" s="8" t="n">
        <v>4</v>
      </c>
      <c r="E17" s="5" t="inlineStr">
        <is>
          <t>Soporta acceso multi-campus e interoperabilidad entre distintas sedes académicas.</t>
        </is>
      </c>
    </row>
    <row r="18" ht="20" customHeight="1">
      <c r="A18" s="11" t="inlineStr">
        <is>
          <t>F14</t>
        </is>
      </c>
      <c r="B18" s="10" t="inlineStr">
        <is>
          <t>¿Se ha diseñado la aplicación para facilitar cambios y uso?</t>
        </is>
      </c>
      <c r="C18" s="11" t="inlineStr">
        <is>
          <t>4 - Significativo</t>
        </is>
      </c>
      <c r="D18" s="11" t="n">
        <v>4</v>
      </c>
      <c r="E18" s="10" t="inlineStr">
        <is>
          <t>Diseño intuitivo, cuadrícula clara y facilidad para incorporar nuevas materias o aranceles.</t>
        </is>
      </c>
    </row>
    <row r="19" ht="22" customHeight="1">
      <c r="A19" s="12" t="inlineStr">
        <is>
          <t>SUMATORIA TOTAL DE FACTORES GENERALES (SUM(Fi)):</t>
        </is>
      </c>
      <c r="B19" s="13" t="n"/>
      <c r="C19" s="13" t="n"/>
      <c r="D19" s="14">
        <f>SUM(D5:D18)</f>
        <v/>
      </c>
      <c r="E19" s="18" t="inlineStr">
        <is>
          <t>Escala de complejidad: 0 a 70 puntos máximos</t>
        </is>
      </c>
    </row>
    <row r="22" ht="24" customHeight="1">
      <c r="A22" s="3" t="inlineStr">
        <is>
          <t>CUADRO RESUMEN DE CÁLCULO DE PUNTOS DE FUNCIÓN AJUSTADOS (PFA)</t>
        </is>
      </c>
    </row>
    <row r="23" ht="24" customHeight="1">
      <c r="A23" s="9" t="inlineStr">
        <is>
          <t>Parámetro / Métrica</t>
        </is>
      </c>
      <c r="B23" s="9" t="inlineStr">
        <is>
          <t>Valor</t>
        </is>
      </c>
      <c r="C23" s="9" t="inlineStr">
        <is>
          <t>Fórmula de Cálculo</t>
        </is>
      </c>
      <c r="D23" s="9" t="inlineStr">
        <is>
          <t>Descripción e Interpretación Técnica</t>
        </is>
      </c>
      <c r="E23" s="6" t="n"/>
    </row>
    <row r="24" ht="22" customHeight="1">
      <c r="A24" s="19" t="inlineStr">
        <is>
          <t>Puntos de Función No Ajustados (PFNA)</t>
        </is>
      </c>
      <c r="B24" s="20">
        <f>'PF No Ajustados'!G65</f>
        <v/>
      </c>
      <c r="C24" s="8" t="inlineStr">
        <is>
          <t>SUM(EI) + SUM(EO) + SUM(EQ) + SUM(ILF) + SUM(EIF)</t>
        </is>
      </c>
      <c r="D24" s="21" t="inlineStr">
        <is>
          <t>Tamaño funcional intrínseco del software basado en las 7 tablas de la BD.</t>
        </is>
      </c>
      <c r="E24" s="6" t="n"/>
    </row>
    <row r="25" ht="22" customHeight="1">
      <c r="A25" s="19" t="inlineStr">
        <is>
          <t>Factor de Ajuste de Complejidad (CAF / VAF)</t>
        </is>
      </c>
      <c r="B25" s="22">
        <f>0.65 + 0.01 * D19</f>
        <v/>
      </c>
      <c r="C25" s="8">
        <f>0.65 + 0.01 * SUM(Fi)</f>
        <v/>
      </c>
      <c r="D25" s="21" t="inlineStr">
        <is>
          <t>Coeficiente que pondera la complejidad operativa del entorno (rango 0.65 a 1.35).</t>
        </is>
      </c>
      <c r="E25" s="6" t="n"/>
    </row>
    <row r="26" ht="28" customHeight="1">
      <c r="A26" s="23" t="inlineStr">
        <is>
          <t>TOTAL PUNTOS DE FUNCIÓN AJUSTADOS (PFA)</t>
        </is>
      </c>
      <c r="B26" s="24">
        <f>B24 * B25</f>
        <v/>
      </c>
      <c r="C26" s="17">
        <f>PFNA * [ 0.65 + 0.01 * SUMA(Fi) ]</f>
        <v/>
      </c>
      <c r="D26" s="23" t="inlineStr">
        <is>
          <t>Tamaño de software ajustado final utilizado para estimar esfuerzo (horas/hombre) y costo.</t>
        </is>
      </c>
      <c r="E26" s="16" t="n"/>
    </row>
  </sheetData>
  <mergeCells count="8">
    <mergeCell ref="D25:E25"/>
    <mergeCell ref="A19:C19"/>
    <mergeCell ref="D24:E24"/>
    <mergeCell ref="A2:E2"/>
    <mergeCell ref="D23:E23"/>
    <mergeCell ref="A1:E1"/>
    <mergeCell ref="D26:E26"/>
    <mergeCell ref="A22:E2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1" workbookViewId="0">
      <selection activeCell="A1" sqref="A1"/>
    </sheetView>
  </sheetViews>
  <sheetFormatPr baseColWidth="8" defaultRowHeight="15" outlineLevelCol="0"/>
  <cols>
    <col width="42" customWidth="1" min="1" max="1"/>
    <col width="14" customWidth="1" min="2" max="2"/>
    <col width="28" customWidth="1" min="3" max="3"/>
    <col width="18" customWidth="1" min="4" max="4"/>
    <col width="18" customWidth="1" min="5" max="5"/>
    <col width="28" customWidth="1" min="6" max="6"/>
  </cols>
  <sheetData>
    <row r="1" ht="36" customHeight="1">
      <c r="A1" s="1" t="inlineStr">
        <is>
          <t>RESUMEN EJECUTIVO DE MÉTRICAS Y ESTIMACIÓN DE SOFTWARE</t>
        </is>
      </c>
    </row>
    <row r="2" ht="20" customHeight="1">
      <c r="A2" s="2" t="inlineStr">
        <is>
          <t>Consolidado integral de Puntos de Función No Ajustados (PFNA) y Ajustados (PFA) | Modelo 7 Tablas</t>
        </is>
      </c>
    </row>
    <row r="4" ht="18" customHeight="1">
      <c r="A4" s="25" t="inlineStr">
        <is>
          <t>PF NO AJUSTADOS</t>
        </is>
      </c>
      <c r="B4" s="6" t="n"/>
      <c r="C4" s="25" t="inlineStr">
        <is>
          <t>FACTOR DE AJUSTE (CAF)</t>
        </is>
      </c>
      <c r="D4" s="6" t="n"/>
      <c r="E4" s="25" t="inlineStr">
        <is>
          <t>PF AJUSTADOS (PFA)</t>
        </is>
      </c>
      <c r="F4" s="6" t="n"/>
    </row>
    <row r="5" ht="32" customHeight="1">
      <c r="A5" s="26">
        <f>'PF No Ajustados'!G65</f>
        <v/>
      </c>
      <c r="B5" s="6" t="n"/>
      <c r="C5" s="26">
        <f>'PF Ajustados'!B25</f>
        <v/>
      </c>
      <c r="D5" s="6" t="n"/>
      <c r="E5" s="26">
        <f>'PF Ajustados'!B26</f>
        <v/>
      </c>
      <c r="F5" s="6" t="n"/>
    </row>
    <row r="6" ht="18" customHeight="1">
      <c r="A6" s="27" t="inlineStr">
        <is>
          <t>Total de puntos funcionales puros</t>
        </is>
      </c>
      <c r="B6" s="6" t="n"/>
      <c r="C6" s="27" t="inlineStr">
        <is>
          <t>Ponderación de complejidad técnica</t>
        </is>
      </c>
      <c r="D6" s="6" t="n"/>
      <c r="E6" s="27" t="inlineStr">
        <is>
          <t>Tamaño de entrega ajustado</t>
        </is>
      </c>
      <c r="F6" s="6" t="n"/>
    </row>
    <row r="8" ht="24" customHeight="1">
      <c r="A8" s="3" t="inlineStr">
        <is>
          <t>CONSOLIDADO POR TIPO DE COMPONENTE FUNCIONAL</t>
        </is>
      </c>
    </row>
    <row r="9" ht="24" customHeight="1">
      <c r="A9" s="7" t="inlineStr">
        <is>
          <t>Categoría / Componente</t>
        </is>
      </c>
      <c r="B9" s="7" t="inlineStr">
        <is>
          <t>Acrónimo</t>
        </is>
      </c>
      <c r="C9" s="7" t="inlineStr">
        <is>
          <t>Total de Transacciones / Archivos</t>
        </is>
      </c>
      <c r="D9" s="7" t="inlineStr">
        <is>
          <t>Subtotal Puntos</t>
        </is>
      </c>
      <c r="E9" s="7" t="inlineStr">
        <is>
          <t>Participación %</t>
        </is>
      </c>
      <c r="F9" s="7" t="inlineStr">
        <is>
          <t>Nivel de Complejidad Predominante</t>
        </is>
      </c>
    </row>
    <row r="10" ht="20" customHeight="1">
      <c r="A10" s="5" t="inlineStr">
        <is>
          <t>Entradas Externas (Altas, Bajas, Modificaciones)</t>
        </is>
      </c>
      <c r="B10" s="8" t="inlineStr">
        <is>
          <t>EI</t>
        </is>
      </c>
      <c r="C10" s="8" t="n">
        <v>21</v>
      </c>
      <c r="D10" s="28">
        <f>'PF No Ajustados'!G27</f>
        <v/>
      </c>
      <c r="E10" s="29">
        <f>D10/$D$15</f>
        <v/>
      </c>
      <c r="F10" s="8" t="inlineStr">
        <is>
          <t>Bajo / Medio</t>
        </is>
      </c>
    </row>
    <row r="11" ht="20" customHeight="1">
      <c r="A11" s="10" t="inlineStr">
        <is>
          <t>Salidas Externas (Reportes con Cálculos)</t>
        </is>
      </c>
      <c r="B11" s="11" t="inlineStr">
        <is>
          <t>EO</t>
        </is>
      </c>
      <c r="C11" s="11" t="n">
        <v>4</v>
      </c>
      <c r="D11" s="30">
        <f>'PF No Ajustados'!G35</f>
        <v/>
      </c>
      <c r="E11" s="31">
        <f>D11/$D$15</f>
        <v/>
      </c>
      <c r="F11" s="11" t="inlineStr">
        <is>
          <t>Medio / Alto</t>
        </is>
      </c>
    </row>
    <row r="12" ht="20" customHeight="1">
      <c r="A12" s="5" t="inlineStr">
        <is>
          <t>Peticiones / Consultas (Búsquedas Directas)</t>
        </is>
      </c>
      <c r="B12" s="8" t="inlineStr">
        <is>
          <t>EQ</t>
        </is>
      </c>
      <c r="C12" s="8" t="n">
        <v>7</v>
      </c>
      <c r="D12" s="28">
        <f>'PF No Ajustados'!G46</f>
        <v/>
      </c>
      <c r="E12" s="29">
        <f>D12/$D$15</f>
        <v/>
      </c>
      <c r="F12" s="8" t="inlineStr">
        <is>
          <t>Bajo / Medio</t>
        </is>
      </c>
    </row>
    <row r="13" ht="20" customHeight="1">
      <c r="A13" s="10" t="inlineStr">
        <is>
          <t>Archivos Lógicos Internos (7 Tablas BD)</t>
        </is>
      </c>
      <c r="B13" s="11" t="inlineStr">
        <is>
          <t>ILF</t>
        </is>
      </c>
      <c r="C13" s="11" t="n">
        <v>7</v>
      </c>
      <c r="D13" s="30">
        <f>'PF No Ajustados'!G57</f>
        <v/>
      </c>
      <c r="E13" s="31">
        <f>D13/$D$15</f>
        <v/>
      </c>
      <c r="F13" s="11" t="inlineStr">
        <is>
          <t>Bajo (7 RETs)</t>
        </is>
      </c>
    </row>
    <row r="14" ht="20" customHeight="1">
      <c r="A14" s="5" t="inlineStr">
        <is>
          <t>Archivos de Interfaz Externa (Validaciones)</t>
        </is>
      </c>
      <c r="B14" s="8" t="inlineStr">
        <is>
          <t>EIF</t>
        </is>
      </c>
      <c r="C14" s="8" t="n">
        <v>2</v>
      </c>
      <c r="D14" s="28">
        <f>'PF No Ajustados'!G63</f>
        <v/>
      </c>
      <c r="E14" s="29">
        <f>D14/$D$15</f>
        <v/>
      </c>
      <c r="F14" s="8" t="inlineStr">
        <is>
          <t>Bajo (2 RETs)</t>
        </is>
      </c>
    </row>
    <row r="15" ht="26" customHeight="1">
      <c r="A15" s="23" t="inlineStr">
        <is>
          <t>TOTAL GENERAL</t>
        </is>
      </c>
      <c r="B15" s="17" t="inlineStr">
        <is>
          <t>PFNA</t>
        </is>
      </c>
      <c r="C15" s="17">
        <f>SUM(C10:C14)</f>
        <v/>
      </c>
      <c r="D15" s="17">
        <f>SUM(D10:D14)</f>
        <v/>
      </c>
      <c r="E15" s="32">
        <f>SUM(E10:E14)</f>
        <v/>
      </c>
      <c r="F15" s="17" t="inlineStr">
        <is>
          <t>100% Cobertura</t>
        </is>
      </c>
    </row>
  </sheetData>
  <mergeCells count="12">
    <mergeCell ref="A4:B4"/>
    <mergeCell ref="A2:F2"/>
    <mergeCell ref="E4:F4"/>
    <mergeCell ref="E6:F6"/>
    <mergeCell ref="C6:D6"/>
    <mergeCell ref="A1:F1"/>
    <mergeCell ref="C5:D5"/>
    <mergeCell ref="A5:B5"/>
    <mergeCell ref="A8:F8"/>
    <mergeCell ref="E5:F5"/>
    <mergeCell ref="A6:B6"/>
    <mergeCell ref="C4:D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2026-10-22T19:19:19Z</dcterms:created>
  <dcterms:modified xsi:type="dcterms:W3CDTF">2026-10-22T19:19:19Z</dcterms:modified>
</cp:coreProperties>
</file>