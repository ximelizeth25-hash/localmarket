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F No Ajustados" state="visible" r:id="rId4"/>
    <sheet sheetId="2" name="PF Ajustados" state="visible" r:id="rId5"/>
  </sheets>
  <calcPr calcId="171027"/>
</workbook>
</file>

<file path=xl/sharedStrings.xml><?xml version="1.0" encoding="utf-8"?>
<sst xmlns="http://schemas.openxmlformats.org/spreadsheetml/2006/main" count="156" uniqueCount="96">
  <si>
    <t>ANÁLISIS DE PUNTOS DE FUNCIÓN NO AJUSTADOS (PFNA)</t>
  </si>
  <si>
    <t>Base de Datos de 7 Tablas: Alumno, Estado, Pago, Materia, Cursa, Becado, Discapacitado | Metodología IFPUG / Albrecht</t>
  </si>
  <si>
    <t>1. ENTRADAS EXTERNAS (EI) - Transacciones que agregan, modifican o eliminan datos</t>
  </si>
  <si>
    <t>Núm.</t>
  </si>
  <si>
    <t>Entrada (Transacción)</t>
  </si>
  <si>
    <t>Archivos referidos (FTR)</t>
  </si>
  <si>
    <t>Elementos datos (DET)</t>
  </si>
  <si>
    <t>Nivel</t>
  </si>
  <si>
    <t>Valor</t>
  </si>
  <si>
    <t>Registrar Alumno (Alta)</t>
  </si>
  <si>
    <t>2 (Alumno, Estado)</t>
  </si>
  <si>
    <t>Medio</t>
  </si>
  <si>
    <t>Modificar Alumno</t>
  </si>
  <si>
    <t>Eliminar Alumno (Baja)</t>
  </si>
  <si>
    <t>1 (Alumno)</t>
  </si>
  <si>
    <t>Bajo</t>
  </si>
  <si>
    <t>Registrar Pago</t>
  </si>
  <si>
    <t>2 (Pago, Alumno)</t>
  </si>
  <si>
    <t>Registrar Materia</t>
  </si>
  <si>
    <t>1 (Materia)</t>
  </si>
  <si>
    <t>Asignar Cursa (Inscripción)</t>
  </si>
  <si>
    <t>3 (Cursa, Alumno, Materia)</t>
  </si>
  <si>
    <t>Registrar Becado</t>
  </si>
  <si>
    <t>2 (Becado, Alumno)</t>
  </si>
  <si>
    <t>Registrar Discapacitado</t>
  </si>
  <si>
    <t>2 (Discapacitado, Alumno)</t>
  </si>
  <si>
    <t>Registrar Estado</t>
  </si>
  <si>
    <t>1 (Estado)</t>
  </si>
  <si>
    <t>Subtotal Entradas (EI)</t>
  </si>
  <si>
    <t>2. SALIDAS EXTERNAS (EO) - Reportes e informes con cálculos derivados</t>
  </si>
  <si>
    <t>Salida (Informe calculado)</t>
  </si>
  <si>
    <t>Estado de Cuenta y Saldos (Cargos - Becas - Pagos)</t>
  </si>
  <si>
    <t>4 (Alumno, Pago, Cursa, Becado)</t>
  </si>
  <si>
    <t>Alto</t>
  </si>
  <si>
    <t>Carga Académica con Costos y Descuento</t>
  </si>
  <si>
    <t>4 (Alumno, Cursa, Materia, Becado)</t>
  </si>
  <si>
    <t>Informe Estadístico de Becas y Descuentos %</t>
  </si>
  <si>
    <t>3 (Becado, Alumno, Materia)</t>
  </si>
  <si>
    <t>Subtotal Salidas (EO)</t>
  </si>
  <si>
    <t>3. PETICIONES EXTERNAS (EQ) - Consultas directas sin cálculos matemáticos</t>
  </si>
  <si>
    <t>Petición (Consulta / Listado)</t>
  </si>
  <si>
    <t>Consulta de Alumno por Matrícula (Ficha)</t>
  </si>
  <si>
    <t>Catálogo de Materias</t>
  </si>
  <si>
    <t>Historial de Pagos de Alumno</t>
  </si>
  <si>
    <t>Listado de Alumnos Becados</t>
  </si>
  <si>
    <t>Listado de Alumnos Discapacitados</t>
  </si>
  <si>
    <t>Subtotal Peticiones (EQ)</t>
  </si>
  <si>
    <t>4. ARCHIVOS LÓGICOS INTERNOS (ILF) - Tablas alteradas por el sistema</t>
  </si>
  <si>
    <t>Archivo Interno (Tabla)</t>
  </si>
  <si>
    <t>Elementos registro (RET)</t>
  </si>
  <si>
    <t>Alumno</t>
  </si>
  <si>
    <t>Estado</t>
  </si>
  <si>
    <t>Pago</t>
  </si>
  <si>
    <t>Materia</t>
  </si>
  <si>
    <t>Cursa</t>
  </si>
  <si>
    <t>Becado</t>
  </si>
  <si>
    <t>Discapacitado</t>
  </si>
  <si>
    <t>Subtotal Archivos Internos (ILF)</t>
  </si>
  <si>
    <t>5. ARCHIVOS DE INTERFAZ EXTERNA (EIF) - Tablas / Servicios consultados de solo lectura</t>
  </si>
  <si>
    <t>Archivo Externo (Servicio)</t>
  </si>
  <si>
    <t>Validación Ciudadana / CURP (RENAPO)</t>
  </si>
  <si>
    <t>Catálogo Escolar Oficial (SEJ / DGB)</t>
  </si>
  <si>
    <t>Subtotal Archivos Externos (EIF)</t>
  </si>
  <si>
    <t>TOTAL PUNTOS DE FUNCIÓN NO AJUSTADOS (PFNA)</t>
  </si>
  <si>
    <t>FACTORES DE AJUSTE DE COMPLEJIDAD (GSC - ALBRECHT)</t>
  </si>
  <si>
    <t>Escala de 0 a 5: 0=Sin influencia, 1=Incidental, 2=Moderado, 3=Medio, 4=Significativo, 5=Esencial</t>
  </si>
  <si>
    <t>Pregunta / Característica General del Sistema</t>
  </si>
  <si>
    <t>Grado de Influencia</t>
  </si>
  <si>
    <t>Valor (Fi)</t>
  </si>
  <si>
    <t>¿Requiere el sistema copias de seguridad y de recuperación fiables?</t>
  </si>
  <si>
    <t>Significativo</t>
  </si>
  <si>
    <t>¿Se requieren comunicaciones de datos?</t>
  </si>
  <si>
    <t>¿Existen funciones de procesamiento distribuido?</t>
  </si>
  <si>
    <t>¿Es crítico el rendimiento?</t>
  </si>
  <si>
    <t>¿Será ejecutado el sistema en un entorno operativo existente y fuertemente utilizado?</t>
  </si>
  <si>
    <t>¿Requiere el sistema entrada de datos interactiva?</t>
  </si>
  <si>
    <t>Esencial</t>
  </si>
  <si>
    <t>¿Requiere entrada de datos interactiva que las transacciones se lleven a cabo sobre múltiples pantallas?</t>
  </si>
  <si>
    <t>¿Se actualizan los archivos maestros de forma interactiva?</t>
  </si>
  <si>
    <t>¿Son complejas las entradas, las salidas, los archivos o las peticiones?</t>
  </si>
  <si>
    <t>¿Es complejo el procesamiento interno?</t>
  </si>
  <si>
    <t>¿Se ha diseñado el código para ser reutilizable?</t>
  </si>
  <si>
    <t>¿Están incluidas en el diseño la conversión y la instalación?</t>
  </si>
  <si>
    <t>Moderado</t>
  </si>
  <si>
    <t>¿Se ha diseñado el sistema para soportar múltiples instalaciones en diferentes organizaciones?</t>
  </si>
  <si>
    <t>¿Se ha diseñado la aplicación para facilitar los cambios y para ser fácilmente utilizada por el usuario?</t>
  </si>
  <si>
    <t>Total Grados de Influencia SUMA(Fi)</t>
  </si>
  <si>
    <t>CÁLCULO DE LA ECUACIÓN DE PUNTOS DE FUNCIÓN AJUSTADOS (PFA)</t>
  </si>
  <si>
    <t>Puntos de Función No Ajustados (PFNA)</t>
  </si>
  <si>
    <t>PF</t>
  </si>
  <si>
    <t>Suma de Factores de Ajuste SUMA(Fi)</t>
  </si>
  <si>
    <t>Puntos GSC</t>
  </si>
  <si>
    <t>Factor de Ajuste de Complejidad (CAF = 0.65 + 0.01 * SUMA(Fi))</t>
  </si>
  <si>
    <t>Coeficiente</t>
  </si>
  <si>
    <t>PUNTOS DE FUNCIÓN AJUSTADOS (PFA = PFNA * CAF)</t>
  </si>
  <si>
    <t>PFA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</si>
</sst>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0F172A"/>
      <sz val="13"/>
      <name val="Segoe UI"/>
    </font>
    <font>
      <i/>
      <color rgb="FF64748B"/>
      <sz val="9"/>
      <name val="Segoe UI"/>
    </font>
    <font>
      <b/>
      <color rgb="FF1E3A8A"/>
      <sz val="10.5"/>
      <name val="Segoe UI"/>
    </font>
    <font>
      <b/>
      <color rgb="FFFFFFFF"/>
      <sz val="9.5"/>
      <name val="Segoe UI"/>
    </font>
    <font>
      <color rgb="FF1E293B"/>
      <sz val="9"/>
      <name val="Segoe UI"/>
    </font>
    <font>
      <b/>
      <color rgb="FF0F172A"/>
      <sz val="9"/>
      <name val="Segoe UI"/>
    </font>
    <font>
      <b/>
      <color rgb="FF1E3A8A"/>
      <sz val="11"/>
      <name val="Segoe UI"/>
    </font>
    <font>
      <b/>
      <color rgb="FF1E3A8A"/>
      <sz val="10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F8FAFC"/>
      </patternFill>
    </fill>
    <fill>
      <patternFill patternType="solid">
        <fgColor rgb="FFE2E8F0"/>
      </patternFill>
    </fill>
    <fill>
      <patternFill patternType="solid">
        <fgColor rgb="FFDBEAFE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medium">
        <color rgb="FF1E3A8A"/>
      </left>
      <right style="medium">
        <color rgb="FF1E3A8A"/>
      </right>
      <top style="medium">
        <color rgb="FF1E3A8A"/>
      </top>
      <bottom style="double">
        <color rgb="FF1E3A8A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right" vertical="center"/>
    </xf>
    <xf numFmtId="0" fontId="6" fillId="4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right" vertical="center"/>
    </xf>
    <xf numFmtId="0" fontId="7" fillId="5" borderId="2" xfId="0" applyFont="1" applyFill="1" applyBorder="1" applyAlignment="1">
      <alignment horizontal="center" vertical="center"/>
    </xf>
    <xf numFmtId="0" fontId="7" fillId="0" borderId="0" xfId="0" applyFont="1"/>
    <xf numFmtId="0" fontId="6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2" fontId="6" fillId="3" borderId="1" xfId="0" applyNumberFormat="1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left" vertical="center"/>
    </xf>
    <xf numFmtId="2" fontId="7" fillId="5" borderId="2" xfId="0" applyNumberFormat="1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workbookViewId="0"/>
  </sheetViews>
  <sheetFormatPr defaultRowHeight="15" outlineLevelRow="0" outlineLevelCol="0" x14ac:dyDescent="55"/>
  <cols>
    <col min="1" max="1" width="8" customWidth="1"/>
    <col min="2" max="2" width="38" customWidth="1"/>
    <col min="3" max="3" width="28" customWidth="1"/>
    <col min="4" max="4" width="14" customWidth="1"/>
    <col min="5" max="6" width="12" customWidth="1"/>
  </cols>
  <sheetData>
    <row r="1" ht="25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ht="20" customHeight="1" spans="1:6" x14ac:dyDescent="0.25">
      <c r="A5" s="4" t="s">
        <v>3</v>
      </c>
      <c r="B5" s="5" t="s">
        <v>4</v>
      </c>
      <c r="C5" s="5" t="s">
        <v>5</v>
      </c>
      <c r="D5" s="4" t="s">
        <v>6</v>
      </c>
      <c r="E5" s="4" t="s">
        <v>7</v>
      </c>
      <c r="F5" s="4" t="s">
        <v>8</v>
      </c>
    </row>
    <row r="6" ht="18" customHeight="1" spans="1:6" x14ac:dyDescent="0.25">
      <c r="A6" s="6">
        <v>1</v>
      </c>
      <c r="B6" s="7" t="s">
        <v>9</v>
      </c>
      <c r="C6" s="7" t="s">
        <v>10</v>
      </c>
      <c r="D6" s="6">
        <v>7</v>
      </c>
      <c r="E6" s="6" t="s">
        <v>11</v>
      </c>
      <c r="F6" s="6">
        <v>4</v>
      </c>
    </row>
    <row r="7" ht="18" customHeight="1" spans="1:6" x14ac:dyDescent="0.25">
      <c r="A7" s="8">
        <v>2</v>
      </c>
      <c r="B7" s="9" t="s">
        <v>12</v>
      </c>
      <c r="C7" s="9" t="s">
        <v>10</v>
      </c>
      <c r="D7" s="8">
        <v>7</v>
      </c>
      <c r="E7" s="8" t="s">
        <v>11</v>
      </c>
      <c r="F7" s="8">
        <v>4</v>
      </c>
    </row>
    <row r="8" ht="18" customHeight="1" spans="1:6" x14ac:dyDescent="0.25">
      <c r="A8" s="6">
        <v>3</v>
      </c>
      <c r="B8" s="7" t="s">
        <v>13</v>
      </c>
      <c r="C8" s="7" t="s">
        <v>14</v>
      </c>
      <c r="D8" s="6">
        <v>2</v>
      </c>
      <c r="E8" s="6" t="s">
        <v>15</v>
      </c>
      <c r="F8" s="6">
        <v>3</v>
      </c>
    </row>
    <row r="9" ht="18" customHeight="1" spans="1:6" x14ac:dyDescent="0.25">
      <c r="A9" s="8">
        <v>4</v>
      </c>
      <c r="B9" s="9" t="s">
        <v>16</v>
      </c>
      <c r="C9" s="9" t="s">
        <v>17</v>
      </c>
      <c r="D9" s="8">
        <v>5</v>
      </c>
      <c r="E9" s="8" t="s">
        <v>11</v>
      </c>
      <c r="F9" s="8">
        <v>4</v>
      </c>
    </row>
    <row r="10" ht="18" customHeight="1" spans="1:6" x14ac:dyDescent="0.25">
      <c r="A10" s="6">
        <v>5</v>
      </c>
      <c r="B10" s="7" t="s">
        <v>18</v>
      </c>
      <c r="C10" s="7" t="s">
        <v>19</v>
      </c>
      <c r="D10" s="6">
        <v>3</v>
      </c>
      <c r="E10" s="6" t="s">
        <v>15</v>
      </c>
      <c r="F10" s="6">
        <v>3</v>
      </c>
    </row>
    <row r="11" ht="18" customHeight="1" spans="1:6" x14ac:dyDescent="0.25">
      <c r="A11" s="8">
        <v>6</v>
      </c>
      <c r="B11" s="9" t="s">
        <v>20</v>
      </c>
      <c r="C11" s="9" t="s">
        <v>21</v>
      </c>
      <c r="D11" s="8">
        <v>3</v>
      </c>
      <c r="E11" s="8" t="s">
        <v>11</v>
      </c>
      <c r="F11" s="8">
        <v>4</v>
      </c>
    </row>
    <row r="12" ht="18" customHeight="1" spans="1:6" x14ac:dyDescent="0.25">
      <c r="A12" s="6">
        <v>7</v>
      </c>
      <c r="B12" s="7" t="s">
        <v>22</v>
      </c>
      <c r="C12" s="7" t="s">
        <v>23</v>
      </c>
      <c r="D12" s="6">
        <v>3</v>
      </c>
      <c r="E12" s="6" t="s">
        <v>15</v>
      </c>
      <c r="F12" s="6">
        <v>3</v>
      </c>
    </row>
    <row r="13" ht="18" customHeight="1" spans="1:6" x14ac:dyDescent="0.25">
      <c r="A13" s="8">
        <v>8</v>
      </c>
      <c r="B13" s="9" t="s">
        <v>24</v>
      </c>
      <c r="C13" s="9" t="s">
        <v>25</v>
      </c>
      <c r="D13" s="8">
        <v>3</v>
      </c>
      <c r="E13" s="8" t="s">
        <v>15</v>
      </c>
      <c r="F13" s="8">
        <v>3</v>
      </c>
    </row>
    <row r="14" ht="18" customHeight="1" spans="1:6" x14ac:dyDescent="0.25">
      <c r="A14" s="6">
        <v>9</v>
      </c>
      <c r="B14" s="7" t="s">
        <v>26</v>
      </c>
      <c r="C14" s="7" t="s">
        <v>27</v>
      </c>
      <c r="D14" s="6">
        <v>2</v>
      </c>
      <c r="E14" s="6" t="s">
        <v>15</v>
      </c>
      <c r="F14" s="6">
        <v>3</v>
      </c>
    </row>
    <row r="15" ht="20" customHeight="1" spans="1:6" x14ac:dyDescent="0.25">
      <c r="A15" s="10" t="s">
        <v>28</v>
      </c>
      <c r="B15" s="10"/>
      <c r="C15" s="10"/>
      <c r="D15" s="10"/>
      <c r="E15" s="10"/>
      <c r="F15" s="11">
        <f>SUM(F6:F14)</f>
      </c>
    </row>
    <row r="17" spans="1:6" x14ac:dyDescent="0.25">
      <c r="A17" s="3" t="s">
        <v>29</v>
      </c>
      <c r="B17" s="3"/>
      <c r="C17" s="3"/>
      <c r="D17" s="3"/>
      <c r="E17" s="3"/>
      <c r="F17" s="3"/>
    </row>
    <row r="18" ht="20" customHeight="1" spans="1:6" x14ac:dyDescent="0.25">
      <c r="A18" s="4" t="s">
        <v>3</v>
      </c>
      <c r="B18" s="5" t="s">
        <v>30</v>
      </c>
      <c r="C18" s="5" t="s">
        <v>5</v>
      </c>
      <c r="D18" s="4" t="s">
        <v>6</v>
      </c>
      <c r="E18" s="4" t="s">
        <v>7</v>
      </c>
      <c r="F18" s="4" t="s">
        <v>8</v>
      </c>
    </row>
    <row r="19" ht="18" customHeight="1" spans="1:6" x14ac:dyDescent="0.25">
      <c r="A19" s="6">
        <v>1</v>
      </c>
      <c r="B19" s="7" t="s">
        <v>31</v>
      </c>
      <c r="C19" s="7" t="s">
        <v>32</v>
      </c>
      <c r="D19" s="6">
        <v>8</v>
      </c>
      <c r="E19" s="6" t="s">
        <v>33</v>
      </c>
      <c r="F19" s="6">
        <v>7</v>
      </c>
    </row>
    <row r="20" ht="18" customHeight="1" spans="1:6" x14ac:dyDescent="0.25">
      <c r="A20" s="8">
        <v>2</v>
      </c>
      <c r="B20" s="9" t="s">
        <v>34</v>
      </c>
      <c r="C20" s="9" t="s">
        <v>35</v>
      </c>
      <c r="D20" s="8">
        <v>7</v>
      </c>
      <c r="E20" s="8" t="s">
        <v>33</v>
      </c>
      <c r="F20" s="8">
        <v>7</v>
      </c>
    </row>
    <row r="21" ht="18" customHeight="1" spans="1:6" x14ac:dyDescent="0.25">
      <c r="A21" s="6">
        <v>3</v>
      </c>
      <c r="B21" s="7" t="s">
        <v>36</v>
      </c>
      <c r="C21" s="7" t="s">
        <v>37</v>
      </c>
      <c r="D21" s="6">
        <v>6</v>
      </c>
      <c r="E21" s="6" t="s">
        <v>11</v>
      </c>
      <c r="F21" s="6">
        <v>5</v>
      </c>
    </row>
    <row r="22" ht="20" customHeight="1" spans="1:6" x14ac:dyDescent="0.25">
      <c r="A22" s="10" t="s">
        <v>38</v>
      </c>
      <c r="B22" s="10"/>
      <c r="C22" s="10"/>
      <c r="D22" s="10"/>
      <c r="E22" s="10"/>
      <c r="F22" s="11">
        <f>SUM(F19:F21)</f>
      </c>
    </row>
    <row r="24" spans="1:6" x14ac:dyDescent="0.25">
      <c r="A24" s="3" t="s">
        <v>39</v>
      </c>
      <c r="B24" s="3"/>
      <c r="C24" s="3"/>
      <c r="D24" s="3"/>
      <c r="E24" s="3"/>
      <c r="F24" s="3"/>
    </row>
    <row r="25" ht="20" customHeight="1" spans="1:6" x14ac:dyDescent="0.25">
      <c r="A25" s="4" t="s">
        <v>3</v>
      </c>
      <c r="B25" s="5" t="s">
        <v>40</v>
      </c>
      <c r="C25" s="5" t="s">
        <v>5</v>
      </c>
      <c r="D25" s="4" t="s">
        <v>6</v>
      </c>
      <c r="E25" s="4" t="s">
        <v>7</v>
      </c>
      <c r="F25" s="4" t="s">
        <v>8</v>
      </c>
    </row>
    <row r="26" ht="18" customHeight="1" spans="1:6" x14ac:dyDescent="0.25">
      <c r="A26" s="6">
        <v>1</v>
      </c>
      <c r="B26" s="7" t="s">
        <v>41</v>
      </c>
      <c r="C26" s="7" t="s">
        <v>10</v>
      </c>
      <c r="D26" s="6">
        <v>8</v>
      </c>
      <c r="E26" s="6" t="s">
        <v>11</v>
      </c>
      <c r="F26" s="6">
        <v>4</v>
      </c>
    </row>
    <row r="27" ht="18" customHeight="1" spans="1:6" x14ac:dyDescent="0.25">
      <c r="A27" s="8">
        <v>2</v>
      </c>
      <c r="B27" s="9" t="s">
        <v>42</v>
      </c>
      <c r="C27" s="9" t="s">
        <v>19</v>
      </c>
      <c r="D27" s="8">
        <v>3</v>
      </c>
      <c r="E27" s="8" t="s">
        <v>15</v>
      </c>
      <c r="F27" s="8">
        <v>3</v>
      </c>
    </row>
    <row r="28" ht="18" customHeight="1" spans="1:6" x14ac:dyDescent="0.25">
      <c r="A28" s="6">
        <v>3</v>
      </c>
      <c r="B28" s="7" t="s">
        <v>43</v>
      </c>
      <c r="C28" s="7" t="s">
        <v>17</v>
      </c>
      <c r="D28" s="6">
        <v>5</v>
      </c>
      <c r="E28" s="6" t="s">
        <v>15</v>
      </c>
      <c r="F28" s="6">
        <v>3</v>
      </c>
    </row>
    <row r="29" ht="18" customHeight="1" spans="1:6" x14ac:dyDescent="0.25">
      <c r="A29" s="8">
        <v>4</v>
      </c>
      <c r="B29" s="9" t="s">
        <v>44</v>
      </c>
      <c r="C29" s="9" t="s">
        <v>23</v>
      </c>
      <c r="D29" s="8">
        <v>5</v>
      </c>
      <c r="E29" s="8" t="s">
        <v>15</v>
      </c>
      <c r="F29" s="8">
        <v>3</v>
      </c>
    </row>
    <row r="30" ht="18" customHeight="1" spans="1:6" x14ac:dyDescent="0.25">
      <c r="A30" s="6">
        <v>5</v>
      </c>
      <c r="B30" s="7" t="s">
        <v>45</v>
      </c>
      <c r="C30" s="7" t="s">
        <v>25</v>
      </c>
      <c r="D30" s="6">
        <v>5</v>
      </c>
      <c r="E30" s="6" t="s">
        <v>15</v>
      </c>
      <c r="F30" s="6">
        <v>3</v>
      </c>
    </row>
    <row r="31" ht="20" customHeight="1" spans="1:6" x14ac:dyDescent="0.25">
      <c r="A31" s="10" t="s">
        <v>46</v>
      </c>
      <c r="B31" s="10"/>
      <c r="C31" s="10"/>
      <c r="D31" s="10"/>
      <c r="E31" s="10"/>
      <c r="F31" s="11">
        <f>SUM(F26:F30)</f>
      </c>
    </row>
    <row r="33" spans="1:6" x14ac:dyDescent="0.25">
      <c r="A33" s="3" t="s">
        <v>47</v>
      </c>
      <c r="B33" s="3"/>
      <c r="C33" s="3"/>
      <c r="D33" s="3"/>
      <c r="E33" s="3"/>
      <c r="F33" s="3"/>
    </row>
    <row r="34" ht="20" customHeight="1" spans="1:6" x14ac:dyDescent="0.25">
      <c r="A34" s="4" t="s">
        <v>3</v>
      </c>
      <c r="B34" s="5" t="s">
        <v>48</v>
      </c>
      <c r="C34" s="5" t="s">
        <v>49</v>
      </c>
      <c r="D34" s="4" t="s">
        <v>6</v>
      </c>
      <c r="E34" s="4" t="s">
        <v>7</v>
      </c>
      <c r="F34" s="4" t="s">
        <v>8</v>
      </c>
    </row>
    <row r="35" ht="18" customHeight="1" spans="1:6" x14ac:dyDescent="0.25">
      <c r="A35" s="6">
        <v>1</v>
      </c>
      <c r="B35" s="7" t="s">
        <v>50</v>
      </c>
      <c r="C35" s="7">
        <v>1</v>
      </c>
      <c r="D35" s="6">
        <v>7</v>
      </c>
      <c r="E35" s="6" t="s">
        <v>15</v>
      </c>
      <c r="F35" s="6">
        <v>7</v>
      </c>
    </row>
    <row r="36" ht="18" customHeight="1" spans="1:6" x14ac:dyDescent="0.25">
      <c r="A36" s="8">
        <v>2</v>
      </c>
      <c r="B36" s="9" t="s">
        <v>51</v>
      </c>
      <c r="C36" s="9">
        <v>1</v>
      </c>
      <c r="D36" s="8">
        <v>2</v>
      </c>
      <c r="E36" s="8" t="s">
        <v>15</v>
      </c>
      <c r="F36" s="8">
        <v>7</v>
      </c>
    </row>
    <row r="37" ht="18" customHeight="1" spans="1:6" x14ac:dyDescent="0.25">
      <c r="A37" s="6">
        <v>3</v>
      </c>
      <c r="B37" s="7" t="s">
        <v>52</v>
      </c>
      <c r="C37" s="7">
        <v>1</v>
      </c>
      <c r="D37" s="6">
        <v>4</v>
      </c>
      <c r="E37" s="6" t="s">
        <v>15</v>
      </c>
      <c r="F37" s="6">
        <v>7</v>
      </c>
    </row>
    <row r="38" ht="18" customHeight="1" spans="1:6" x14ac:dyDescent="0.25">
      <c r="A38" s="8">
        <v>4</v>
      </c>
      <c r="B38" s="9" t="s">
        <v>53</v>
      </c>
      <c r="C38" s="9">
        <v>1</v>
      </c>
      <c r="D38" s="8">
        <v>3</v>
      </c>
      <c r="E38" s="8" t="s">
        <v>15</v>
      </c>
      <c r="F38" s="8">
        <v>7</v>
      </c>
    </row>
    <row r="39" ht="18" customHeight="1" spans="1:6" x14ac:dyDescent="0.25">
      <c r="A39" s="6">
        <v>5</v>
      </c>
      <c r="B39" s="7" t="s">
        <v>54</v>
      </c>
      <c r="C39" s="7">
        <v>1</v>
      </c>
      <c r="D39" s="6">
        <v>3</v>
      </c>
      <c r="E39" s="6" t="s">
        <v>15</v>
      </c>
      <c r="F39" s="6">
        <v>7</v>
      </c>
    </row>
    <row r="40" ht="18" customHeight="1" spans="1:6" x14ac:dyDescent="0.25">
      <c r="A40" s="8">
        <v>6</v>
      </c>
      <c r="B40" s="9" t="s">
        <v>55</v>
      </c>
      <c r="C40" s="9">
        <v>1</v>
      </c>
      <c r="D40" s="8">
        <v>3</v>
      </c>
      <c r="E40" s="8" t="s">
        <v>15</v>
      </c>
      <c r="F40" s="8">
        <v>7</v>
      </c>
    </row>
    <row r="41" ht="18" customHeight="1" spans="1:6" x14ac:dyDescent="0.25">
      <c r="A41" s="6">
        <v>7</v>
      </c>
      <c r="B41" s="7" t="s">
        <v>56</v>
      </c>
      <c r="C41" s="7">
        <v>1</v>
      </c>
      <c r="D41" s="6">
        <v>3</v>
      </c>
      <c r="E41" s="6" t="s">
        <v>15</v>
      </c>
      <c r="F41" s="6">
        <v>7</v>
      </c>
    </row>
    <row r="42" ht="20" customHeight="1" spans="1:6" x14ac:dyDescent="0.25">
      <c r="A42" s="10" t="s">
        <v>57</v>
      </c>
      <c r="B42" s="10"/>
      <c r="C42" s="10"/>
      <c r="D42" s="10"/>
      <c r="E42" s="10"/>
      <c r="F42" s="11">
        <f>SUM(F35:F41)</f>
      </c>
    </row>
    <row r="44" spans="1:6" x14ac:dyDescent="0.25">
      <c r="A44" s="3" t="s">
        <v>58</v>
      </c>
      <c r="B44" s="3"/>
      <c r="C44" s="3"/>
      <c r="D44" s="3"/>
      <c r="E44" s="3"/>
      <c r="F44" s="3"/>
    </row>
    <row r="45" ht="20" customHeight="1" spans="1:6" x14ac:dyDescent="0.25">
      <c r="A45" s="4" t="s">
        <v>3</v>
      </c>
      <c r="B45" s="5" t="s">
        <v>59</v>
      </c>
      <c r="C45" s="5" t="s">
        <v>49</v>
      </c>
      <c r="D45" s="4" t="s">
        <v>6</v>
      </c>
      <c r="E45" s="4" t="s">
        <v>7</v>
      </c>
      <c r="F45" s="4" t="s">
        <v>8</v>
      </c>
    </row>
    <row r="46" ht="18" customHeight="1" spans="1:6" x14ac:dyDescent="0.25">
      <c r="A46" s="6">
        <v>1</v>
      </c>
      <c r="B46" s="7" t="s">
        <v>60</v>
      </c>
      <c r="C46" s="7">
        <v>1</v>
      </c>
      <c r="D46" s="6">
        <v>5</v>
      </c>
      <c r="E46" s="6" t="s">
        <v>15</v>
      </c>
      <c r="F46" s="6">
        <v>5</v>
      </c>
    </row>
    <row r="47" ht="18" customHeight="1" spans="1:6" x14ac:dyDescent="0.25">
      <c r="A47" s="8">
        <v>2</v>
      </c>
      <c r="B47" s="9" t="s">
        <v>61</v>
      </c>
      <c r="C47" s="9">
        <v>1</v>
      </c>
      <c r="D47" s="8">
        <v>4</v>
      </c>
      <c r="E47" s="8" t="s">
        <v>15</v>
      </c>
      <c r="F47" s="8">
        <v>5</v>
      </c>
    </row>
    <row r="48" ht="20" customHeight="1" spans="1:6" x14ac:dyDescent="0.25">
      <c r="A48" s="10" t="s">
        <v>62</v>
      </c>
      <c r="B48" s="10"/>
      <c r="C48" s="10"/>
      <c r="D48" s="10"/>
      <c r="E48" s="10"/>
      <c r="F48" s="11">
        <f>SUM(F46:F47)</f>
      </c>
    </row>
    <row r="50" ht="24" customHeight="1" spans="1:6" x14ac:dyDescent="0.25">
      <c r="A50" s="12" t="s">
        <v>63</v>
      </c>
      <c r="B50" s="12"/>
      <c r="C50" s="12"/>
      <c r="D50" s="12"/>
      <c r="E50" s="12"/>
      <c r="F50" s="13">
        <f>F15+F22+F31+F42+F48</f>
      </c>
    </row>
  </sheetData>
  <mergeCells count="13">
    <mergeCell ref="A1:F1"/>
    <mergeCell ref="A2:F2"/>
    <mergeCell ref="A4:F4"/>
    <mergeCell ref="A15:E15"/>
    <mergeCell ref="A17:F17"/>
    <mergeCell ref="A22:E22"/>
    <mergeCell ref="A24:F24"/>
    <mergeCell ref="A31:E31"/>
    <mergeCell ref="A33:F33"/>
    <mergeCell ref="A42:E42"/>
    <mergeCell ref="A44:F44"/>
    <mergeCell ref="A48:E48"/>
    <mergeCell ref="A50:E5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workbookViewId="0"/>
  </sheetViews>
  <sheetFormatPr defaultRowHeight="15" outlineLevelRow="0" outlineLevelCol="0" x14ac:dyDescent="55"/>
  <cols>
    <col min="1" max="1" width="6" customWidth="1"/>
    <col min="2" max="2" width="60" customWidth="1"/>
    <col min="3" max="3" width="18" customWidth="1"/>
    <col min="4" max="4" width="12" customWidth="1"/>
  </cols>
  <sheetData>
    <row r="1" ht="25" customHeight="1" spans="1:4" x14ac:dyDescent="0.25">
      <c r="A1" s="1" t="s">
        <v>64</v>
      </c>
      <c r="B1" s="1"/>
      <c r="C1" s="1"/>
      <c r="D1" s="1"/>
    </row>
    <row r="2" ht="18" customHeight="1" spans="1:4" x14ac:dyDescent="0.25">
      <c r="A2" s="2" t="s">
        <v>65</v>
      </c>
      <c r="B2" s="2"/>
      <c r="C2" s="2"/>
      <c r="D2" s="2"/>
    </row>
    <row r="4" ht="20" customHeight="1" spans="1:4" x14ac:dyDescent="0.25">
      <c r="A4" s="4" t="s">
        <v>3</v>
      </c>
      <c r="B4" s="5" t="s">
        <v>66</v>
      </c>
      <c r="C4" s="4" t="s">
        <v>67</v>
      </c>
      <c r="D4" s="4" t="s">
        <v>68</v>
      </c>
    </row>
    <row r="5" ht="18" customHeight="1" spans="1:4" x14ac:dyDescent="0.25">
      <c r="A5" s="6">
        <v>1</v>
      </c>
      <c r="B5" s="7" t="s">
        <v>69</v>
      </c>
      <c r="C5" s="6" t="s">
        <v>70</v>
      </c>
      <c r="D5" s="6">
        <v>4</v>
      </c>
    </row>
    <row r="6" ht="18" customHeight="1" spans="1:4" x14ac:dyDescent="0.25">
      <c r="A6" s="8">
        <v>2</v>
      </c>
      <c r="B6" s="9" t="s">
        <v>71</v>
      </c>
      <c r="C6" s="8" t="s">
        <v>70</v>
      </c>
      <c r="D6" s="8">
        <v>4</v>
      </c>
    </row>
    <row r="7" ht="18" customHeight="1" spans="1:4" x14ac:dyDescent="0.25">
      <c r="A7" s="6">
        <v>3</v>
      </c>
      <c r="B7" s="7" t="s">
        <v>72</v>
      </c>
      <c r="C7" s="6" t="s">
        <v>11</v>
      </c>
      <c r="D7" s="6">
        <v>3</v>
      </c>
    </row>
    <row r="8" ht="18" customHeight="1" spans="1:4" x14ac:dyDescent="0.25">
      <c r="A8" s="8">
        <v>4</v>
      </c>
      <c r="B8" s="9" t="s">
        <v>73</v>
      </c>
      <c r="C8" s="8" t="s">
        <v>11</v>
      </c>
      <c r="D8" s="8">
        <v>3</v>
      </c>
    </row>
    <row r="9" ht="18" customHeight="1" spans="1:4" x14ac:dyDescent="0.25">
      <c r="A9" s="6">
        <v>5</v>
      </c>
      <c r="B9" s="7" t="s">
        <v>74</v>
      </c>
      <c r="C9" s="6" t="s">
        <v>11</v>
      </c>
      <c r="D9" s="6">
        <v>3</v>
      </c>
    </row>
    <row r="10" ht="18" customHeight="1" spans="1:4" x14ac:dyDescent="0.25">
      <c r="A10" s="8">
        <v>6</v>
      </c>
      <c r="B10" s="9" t="s">
        <v>75</v>
      </c>
      <c r="C10" s="8" t="s">
        <v>76</v>
      </c>
      <c r="D10" s="8">
        <v>5</v>
      </c>
    </row>
    <row r="11" ht="18" customHeight="1" spans="1:4" x14ac:dyDescent="0.25">
      <c r="A11" s="6">
        <v>7</v>
      </c>
      <c r="B11" s="7" t="s">
        <v>77</v>
      </c>
      <c r="C11" s="6" t="s">
        <v>70</v>
      </c>
      <c r="D11" s="6">
        <v>4</v>
      </c>
    </row>
    <row r="12" ht="18" customHeight="1" spans="1:4" x14ac:dyDescent="0.25">
      <c r="A12" s="8">
        <v>8</v>
      </c>
      <c r="B12" s="9" t="s">
        <v>78</v>
      </c>
      <c r="C12" s="8" t="s">
        <v>70</v>
      </c>
      <c r="D12" s="8">
        <v>4</v>
      </c>
    </row>
    <row r="13" ht="18" customHeight="1" spans="1:4" x14ac:dyDescent="0.25">
      <c r="A13" s="6">
        <v>9</v>
      </c>
      <c r="B13" s="7" t="s">
        <v>79</v>
      </c>
      <c r="C13" s="6" t="s">
        <v>11</v>
      </c>
      <c r="D13" s="6">
        <v>3</v>
      </c>
    </row>
    <row r="14" ht="18" customHeight="1" spans="1:4" x14ac:dyDescent="0.25">
      <c r="A14" s="8">
        <v>10</v>
      </c>
      <c r="B14" s="9" t="s">
        <v>80</v>
      </c>
      <c r="C14" s="8" t="s">
        <v>11</v>
      </c>
      <c r="D14" s="8">
        <v>3</v>
      </c>
    </row>
    <row r="15" ht="18" customHeight="1" spans="1:4" x14ac:dyDescent="0.25">
      <c r="A15" s="6">
        <v>11</v>
      </c>
      <c r="B15" s="7" t="s">
        <v>81</v>
      </c>
      <c r="C15" s="6" t="s">
        <v>70</v>
      </c>
      <c r="D15" s="6">
        <v>4</v>
      </c>
    </row>
    <row r="16" ht="18" customHeight="1" spans="1:4" x14ac:dyDescent="0.25">
      <c r="A16" s="8">
        <v>12</v>
      </c>
      <c r="B16" s="9" t="s">
        <v>82</v>
      </c>
      <c r="C16" s="8" t="s">
        <v>83</v>
      </c>
      <c r="D16" s="8">
        <v>2</v>
      </c>
    </row>
    <row r="17" ht="18" customHeight="1" spans="1:4" x14ac:dyDescent="0.25">
      <c r="A17" s="6">
        <v>13</v>
      </c>
      <c r="B17" s="7" t="s">
        <v>84</v>
      </c>
      <c r="C17" s="6" t="s">
        <v>83</v>
      </c>
      <c r="D17" s="6">
        <v>2</v>
      </c>
    </row>
    <row r="18" ht="18" customHeight="1" spans="1:4" x14ac:dyDescent="0.25">
      <c r="A18" s="8">
        <v>14</v>
      </c>
      <c r="B18" s="9" t="s">
        <v>85</v>
      </c>
      <c r="C18" s="8" t="s">
        <v>70</v>
      </c>
      <c r="D18" s="8">
        <v>4</v>
      </c>
    </row>
    <row r="19" ht="20" customHeight="1" spans="1:4" x14ac:dyDescent="0.25">
      <c r="A19" s="10" t="s">
        <v>86</v>
      </c>
      <c r="B19" s="10"/>
      <c r="C19" s="10"/>
      <c r="D19" s="11">
        <f>SUM(D5:D18)</f>
      </c>
    </row>
    <row r="22" spans="1:4" x14ac:dyDescent="0.25">
      <c r="A22" s="14" t="s">
        <v>87</v>
      </c>
      <c r="B22" s="14"/>
      <c r="C22" s="14"/>
      <c r="D22" s="14"/>
    </row>
    <row r="23" ht="22" customHeight="1" spans="1:4" x14ac:dyDescent="0.25">
      <c r="A23" s="15" t="s">
        <v>88</v>
      </c>
      <c r="B23" s="15"/>
      <c r="C23" s="16">
        <f>'PF No Ajustados'!F50</f>
      </c>
      <c r="D23" s="8" t="s">
        <v>89</v>
      </c>
    </row>
    <row r="24" ht="22" customHeight="1" spans="1:4" x14ac:dyDescent="0.25">
      <c r="A24" s="15" t="s">
        <v>90</v>
      </c>
      <c r="B24" s="15"/>
      <c r="C24" s="16">
        <f>D19</f>
      </c>
      <c r="D24" s="8" t="s">
        <v>91</v>
      </c>
    </row>
    <row r="25" ht="22" customHeight="1" spans="1:4" x14ac:dyDescent="0.25">
      <c r="A25" s="15" t="s">
        <v>92</v>
      </c>
      <c r="B25" s="15"/>
      <c r="C25" s="17">
        <f>0.65+0.01*D19</f>
      </c>
      <c r="D25" s="8" t="s">
        <v>93</v>
      </c>
    </row>
    <row r="26" ht="22" customHeight="1" spans="1:4" x14ac:dyDescent="0.25">
      <c r="A26" s="18" t="s">
        <v>94</v>
      </c>
      <c r="B26" s="18"/>
      <c r="C26" s="19">
        <f>'PF No Ajustados'!F50*(0.65+0.01*D19)</f>
      </c>
      <c r="D26" s="20" t="s">
        <v>95</v>
      </c>
    </row>
  </sheetData>
  <mergeCells count="8">
    <mergeCell ref="A1:D1"/>
    <mergeCell ref="A2:D2"/>
    <mergeCell ref="A19:C19"/>
    <mergeCell ref="A22:D22"/>
    <mergeCell ref="A23:B23"/>
    <mergeCell ref="A24:B24"/>
    <mergeCell ref="A25:B25"/>
    <mergeCell ref="A26:B2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PF No Ajustados</vt:lpstr>
      <vt:lpstr>PF Ajustados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Ingeniería de Software - Métricas de Software</dc:creator>
  <dc:title/>
  <dc:subject/>
  <dc:description/>
  <cp:keywords/>
  <cp:category/>
  <cp:lastModifiedBy>LocalMarket</cp:lastModifiedBy>
  <dcterms:created xsi:type="dcterms:W3CDTF">2026-10-12T21:25:50Z</dcterms:created>
  <dcterms:modified xsi:type="dcterms:W3CDTF">2026-10-12T21:25:50Z</dcterms:modified>
</cp:coreProperties>
</file>